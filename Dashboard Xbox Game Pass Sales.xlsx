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ml.chartshape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e42a566f539b02c/Documentos/"/>
    </mc:Choice>
  </mc:AlternateContent>
  <xr:revisionPtr revIDLastSave="251" documentId="8_{828E2EA2-4BD9-4F9B-914C-4822B2747136}" xr6:coauthVersionLast="47" xr6:coauthVersionMax="47" xr10:uidLastSave="{0E96AB9A-EF5B-40E9-B1B9-696E23BA737B}"/>
  <bookViews>
    <workbookView xWindow="-120" yWindow="-120" windowWidth="29040" windowHeight="1584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EA_Play_Season_Pass">#N/A</definedName>
    <definedName name="SegmentaçãodeDados_Minecraft_Season_Pass">#N/A</definedName>
    <definedName name="SegmentaçãodeDados_Plan">#N/A</definedName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3" l="1"/>
  <c r="J19" i="3"/>
</calcChain>
</file>

<file path=xl/sharedStrings.xml><?xml version="1.0" encoding="utf-8"?>
<sst xmlns="http://schemas.openxmlformats.org/spreadsheetml/2006/main" count="2017" uniqueCount="319">
  <si>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</si>
  <si>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</si>
  <si>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</si>
  <si>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</si>
  <si>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</si>
  <si>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</si>
  <si>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</si>
  <si>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</si>
  <si>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</si>
  <si>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</si>
  <si>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</si>
  <si>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</si>
  <si>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</si>
  <si>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</si>
  <si>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</si>
  <si>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</si>
  <si>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</si>
  <si>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</si>
  <si>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</si>
  <si>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</si>
  <si>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</si>
  <si>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</si>
  <si>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</si>
  <si>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</si>
  <si>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</si>
  <si>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</si>
  <si>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</si>
  <si>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</si>
  <si>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</si>
  <si>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</si>
  <si>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</si>
  <si>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</si>
  <si>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</si>
  <si>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</si>
  <si>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</si>
  <si>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</si>
  <si>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</si>
  <si>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</si>
  <si>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</si>
  <si>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</si>
  <si>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</si>
  <si>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</si>
  <si>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</si>
  <si>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</si>
  <si>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</si>
  <si>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</si>
  <si>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</si>
  <si>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</si>
  <si>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</si>
  <si>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</si>
  <si>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</si>
  <si>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</si>
  <si>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</si>
  <si>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</si>
  <si>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</si>
  <si>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</si>
  <si>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</si>
  <si>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</si>
  <si>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</si>
  <si>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</si>
  <si>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</si>
  <si>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</si>
  <si>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</si>
  <si>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</si>
  <si>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</si>
  <si>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</si>
  <si>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</si>
  <si>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</si>
  <si>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</si>
  <si>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</si>
  <si>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</si>
  <si>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</si>
  <si>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</si>
  <si>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</si>
  <si>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</si>
  <si>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</si>
  <si>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</si>
  <si>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</si>
  <si>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</si>
  <si>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</si>
  <si>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</si>
  <si>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</si>
  <si>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</si>
  <si>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</si>
  <si>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</si>
  <si>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</si>
  <si>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</si>
  <si>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</si>
  <si>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</si>
  <si>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</si>
  <si>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</si>
  <si>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</si>
  <si>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</si>
  <si>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</si>
  <si>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</si>
  <si>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</si>
  <si>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</si>
  <si>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</si>
  <si>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</si>
  <si>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</si>
  <si>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</si>
  <si>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</si>
  <si>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</si>
  <si>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</si>
  <si>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</si>
  <si>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</si>
  <si>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</si>
  <si>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</si>
  <si>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</si>
  <si>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</si>
  <si>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</si>
  <si>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</si>
  <si>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</si>
  <si>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</si>
  <si>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</si>
  <si>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</si>
  <si>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</si>
  <si>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</si>
  <si>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</si>
  <si>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</si>
  <si>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</si>
  <si>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</si>
  <si>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</si>
  <si>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</si>
  <si>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</si>
  <si>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</si>
  <si>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</si>
  <si>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</si>
  <si>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</si>
  <si>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</si>
  <si>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</si>
  <si>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</si>
  <si>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</si>
  <si>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</si>
  <si>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</si>
  <si>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</si>
  <si>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</si>
  <si>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</si>
  <si>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</si>
  <si>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</si>
  <si>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</si>
  <si>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</si>
  <si>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</si>
  <si>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</si>
  <si>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</si>
  <si>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</si>
  <si>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</si>
  <si>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</si>
  <si>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</si>
  <si>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</si>
  <si>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</si>
  <si>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</si>
  <si>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</si>
  <si>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</si>
  <si>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</si>
  <si>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</si>
  <si>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</si>
  <si>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</si>
  <si>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</si>
  <si>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</si>
  <si>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</si>
  <si>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</si>
  <si>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</si>
  <si>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</si>
  <si>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</si>
  <si>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</si>
  <si>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</si>
  <si>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</si>
  <si>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</si>
  <si>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</si>
  <si>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</si>
  <si>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</si>
  <si>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</si>
  <si>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</si>
  <si>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</si>
  <si>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</si>
  <si>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</si>
  <si>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</si>
  <si>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</si>
  <si>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</si>
  <si>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</si>
  <si>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</si>
  <si>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</si>
  <si>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</si>
  <si>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</si>
  <si>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</si>
  <si>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</si>
  <si>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</si>
  <si>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</si>
  <si>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</si>
  <si>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</si>
  <si>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</si>
  <si>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</si>
  <si>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</si>
  <si>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</si>
  <si>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</si>
  <si>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</si>
  <si>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</si>
  <si>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</si>
  <si>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</si>
  <si>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</si>
  <si>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</si>
  <si>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</si>
  <si>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</si>
  <si>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</si>
  <si>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</si>
  <si>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</si>
  <si>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</si>
  <si>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</si>
  <si>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</si>
  <si>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</si>
  <si>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</si>
  <si>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</si>
  <si>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</si>
  <si>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</si>
  <si>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</si>
  <si>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</si>
  <si>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</si>
  <si>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</si>
  <si>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</si>
  <si>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</si>
  <si>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</si>
  <si>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</si>
  <si>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</si>
  <si>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</si>
  <si>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</si>
  <si>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</si>
  <si>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</si>
  <si>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</si>
  <si>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</si>
  <si>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</si>
  <si>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</si>
  <si>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</si>
  <si>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</si>
  <si>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</si>
  <si>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</si>
  <si>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</si>
  <si>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</si>
  <si>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</si>
  <si>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</si>
  <si>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</si>
  <si>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</si>
  <si>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</si>
  <si>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</si>
  <si>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</si>
  <si>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</si>
  <si>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</si>
  <si>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</si>
  <si>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</si>
  <si>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</si>
  <si>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</si>
  <si>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</si>
  <si>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</si>
  <si>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</si>
  <si>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</si>
  <si>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</si>
  <si>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</si>
  <si>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</si>
  <si>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</si>
  <si>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</si>
  <si>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</si>
  <si>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</si>
  <si>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</si>
  <si>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</si>
  <si>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</si>
  <si>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</si>
  <si>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</si>
  <si>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</si>
  <si>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</si>
  <si>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</si>
  <si>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</si>
  <si>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</si>
  <si>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</si>
  <si>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</si>
  <si>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</si>
  <si>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</si>
  <si>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</si>
  <si>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</si>
  <si>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</si>
  <si>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</si>
  <si>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</si>
  <si>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</si>
  <si>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</si>
  <si>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</si>
  <si>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</si>
  <si>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</si>
  <si>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</si>
  <si>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</si>
  <si>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</si>
  <si>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</si>
  <si>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</si>
  <si>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</si>
  <si>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</si>
  <si>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</si>
  <si>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</si>
  <si>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</si>
  <si>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</si>
  <si>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</si>
  <si>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</si>
  <si>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</si>
  <si>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</si>
  <si>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</si>
  <si>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</si>
  <si>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</si>
  <si>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</si>
  <si>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</si>
  <si>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</si>
  <si>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</si>
  <si>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</si>
  <si>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</si>
  <si>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</si>
  <si>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</si>
  <si>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</si>
  <si>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</si>
  <si>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</si>
  <si>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</si>
  <si>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XBOX GAME PASS SUBSCRIPTIONS</t>
  </si>
  <si>
    <t>Soma de EA Play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</si>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</sst>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rgb="FF5BF6A8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5BF6A8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5" borderId="0" xfId="0" applyFill="1" applyAlignment="1">
      <alignment horizontal="left"/>
    </xf>
    <xf numFmtId="44" fontId="0" fillId="5" borderId="0" xfId="0" applyNumberFormat="1" applyFill="1"/>
    <xf numFmtId="164" fontId="0" fillId="0" borderId="0" xfId="0" applyNumberFormat="1"/>
    <xf numFmtId="164" fontId="0" fillId="5" borderId="0" xfId="0" applyNumberFormat="1" applyFill="1"/>
    <xf numFmtId="0" fontId="0" fillId="0" borderId="2" xfId="0" applyBorder="1"/>
    <xf numFmtId="0" fontId="4" fillId="0" borderId="2" xfId="0" applyFont="1" applyBorder="1" applyAlignment="1">
      <alignment horizontal="center"/>
    </xf>
  </cellXfs>
  <cellStyles count="3">
    <cellStyle name="Moeda" xfId="2" builtinId="4"/>
    <cellStyle name="Normal" xfId="0" builtinId="0"/>
    <cellStyle name="Título 1" xfId="1" builtinId="16"/>
  </cellStyles>
  <dxfs count="64"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numFmt numFmtId="164" formatCode="&quot;R$&quot;\ #,##0.00"/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numFmt numFmtId="164" formatCode="&quot;R$&quot;\ #,##0.00"/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numFmt numFmtId="164" formatCode="&quot;R$&quot;\ #,##0.00"/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numFmt numFmtId="164" formatCode="&quot;R$&quot;\ #,##0.00"/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numFmt numFmtId="164" formatCode="&quot;R$&quot;\ #,##0.00"/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numFmt numFmtId="164" formatCode="&quot;R$&quot;\ #,##0.00"/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>
          <bgColor rgb="FF2AE6B1"/>
        </patternFill>
      </fill>
    </dxf>
    <dxf>
      <fill>
        <patternFill>
          <bgColor rgb="FF2AE6B1"/>
        </patternFill>
      </fill>
    </dxf>
    <dxf>
      <fill>
        <patternFill>
          <bgColor rgb="FF2AE6B1"/>
        </patternFill>
      </fill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ill>
        <patternFill>
          <bgColor theme="0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</dxfs>
  <tableStyles count="2" defaultTableStyle="TableStyleMedium2" defaultPivotStyle="PivotStyleLight16">
    <tableStyle name="Estilo de Segmentação de Dados 1" pivot="0" table="0" count="3" xr9:uid="{AA7D9C53-CC41-4002-B0D3-4F6E5E98E372}">
      <tableStyleElement type="wholeTable" dxfId="63"/>
    </tableStyle>
    <tableStyle name="Estilo de xbox" table="0" count="4" xr9:uid="{3E932C61-6094-438B-A9C7-EB76F61A2637}">
      <tableStyleElement type="wholeTable" dxfId="62"/>
      <tableStyleElement type="totalRow" dxfId="61"/>
      <tableStyleElement type="pageFieldLabels" dxfId="60"/>
      <tableStyleElement type="pageFieldValues" dxfId="59"/>
    </tableStyle>
  </tableStyles>
  <colors>
    <mruColors>
      <color rgb="FF5BF6A8"/>
      <color rgb="FF2AE6B1"/>
      <color rgb="FF22C55E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2">
        <dxf>
          <fill>
            <patternFill>
              <bgColor rgb="FF2AE6B1"/>
            </patternFill>
          </fill>
        </dxf>
        <dxf>
          <fill>
            <patternFill>
              <bgColor rgb="FF2AE6B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Xbox Game Pass Sales.xlsx]C̳álculos!tbl_annual_total</c:name>
    <c:fmtId val="0"/>
  </c:pivotSource>
  <c:chart>
    <c:autoTitleDeleted val="1"/>
    <c:pivotFmts>
      <c:pivotFmt>
        <c:idx val="0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C̳álculos!$E$15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E6B1"/>
            </a:solidFill>
            <a:ln>
              <a:noFill/>
            </a:ln>
            <a:effectLst/>
          </c:spPr>
          <c:invertIfNegative val="0"/>
          <c:cat>
            <c:strRef>
              <c:f>C̳álculos!$D$16:$D$18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C̳álculos!$E$16:$E$18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6C-4217-8A46-B8ADB1C189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938544"/>
        <c:axId val="31697760"/>
      </c:barChart>
      <c:catAx>
        <c:axId val="30938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697760"/>
        <c:crosses val="autoZero"/>
        <c:auto val="1"/>
        <c:lblAlgn val="ctr"/>
        <c:lblOffset val="100"/>
        <c:noMultiLvlLbl val="0"/>
      </c:catAx>
      <c:valAx>
        <c:axId val="31697760"/>
        <c:scaling>
          <c:orientation val="minMax"/>
        </c:scaling>
        <c:delete val="0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93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Xbox Game Pass Sales.xlsx]C̳álculos!tbl_annual_total</c:name>
    <c:fmtId val="7"/>
  </c:pivotSource>
  <c:chart>
    <c:autoTitleDeleted val="1"/>
    <c:pivotFmts>
      <c:pivotFmt>
        <c:idx val="0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2AE6B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AE6B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2AE6B1"/>
                    </a:solidFill>
                    <a:latin typeface="+mn-lt"/>
                    <a:ea typeface="+mn-ea"/>
                    <a:cs typeface="+mn-cs"/>
                  </a:defRPr>
                </a:pPr>
                <a:fld id="{B12123C9-261A-4178-8094-AE5FA005EC8A}" type="VALUE">
                  <a:rPr lang="en-US">
                    <a:solidFill>
                      <a:srgbClr val="2AE6B1"/>
                    </a:solidFill>
                  </a:rPr>
                  <a:pPr>
                    <a:defRPr>
                      <a:solidFill>
                        <a:srgbClr val="2AE6B1"/>
                      </a:solidFill>
                    </a:defRPr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2AE6B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C̳álculos!$E$15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E6B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AE6B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C04-4172-A9FA-9175B677BE0A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B12123C9-261A-4178-8094-AE5FA005EC8A}" type="VALUE">
                      <a:rPr lang="en-US">
                        <a:solidFill>
                          <a:srgbClr val="2AE6B1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AC04-4172-A9FA-9175B677BE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2AE6B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C̳álculos!$D$16:$D$18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C̳álculos!$E$16:$E$18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04-4172-A9FA-9175B677BE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938544"/>
        <c:axId val="31697760"/>
      </c:barChart>
      <c:catAx>
        <c:axId val="30938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AE6B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697760"/>
        <c:crosses val="autoZero"/>
        <c:auto val="1"/>
        <c:lblAlgn val="ctr"/>
        <c:lblOffset val="100"/>
        <c:noMultiLvlLbl val="0"/>
      </c:catAx>
      <c:valAx>
        <c:axId val="31697760"/>
        <c:scaling>
          <c:orientation val="minMax"/>
        </c:scaling>
        <c:delete val="0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AE6B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93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chart" Target="../charts/chart2.xml"/><Relationship Id="rId1" Type="http://schemas.openxmlformats.org/officeDocument/2006/relationships/image" Target="../media/image2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oneCell">
    <xdr:from>
      <xdr:col>12</xdr:col>
      <xdr:colOff>409574</xdr:colOff>
      <xdr:row>12</xdr:row>
      <xdr:rowOff>145911</xdr:rowOff>
    </xdr:from>
    <xdr:to>
      <xdr:col>13</xdr:col>
      <xdr:colOff>268993</xdr:colOff>
      <xdr:row>16</xdr:row>
      <xdr:rowOff>130386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66ECEAA-84DC-84B7-FF48-7B1748780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3299" y="2574786"/>
          <a:ext cx="469019" cy="75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1031875</xdr:colOff>
      <xdr:row>2</xdr:row>
      <xdr:rowOff>9525</xdr:rowOff>
    </xdr:from>
    <xdr:to>
      <xdr:col>5</xdr:col>
      <xdr:colOff>384175</xdr:colOff>
      <xdr:row>8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Plan">
              <a:extLst>
                <a:ext uri="{FF2B5EF4-FFF2-40B4-BE49-F238E27FC236}">
                  <a16:creationId xmlns:a16="http://schemas.microsoft.com/office/drawing/2014/main" id="{D029099D-300B-37F5-D748-A1D634F010C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56075" y="390525"/>
              <a:ext cx="1828800" cy="1257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523875</xdr:colOff>
      <xdr:row>3</xdr:row>
      <xdr:rowOff>90487</xdr:rowOff>
    </xdr:from>
    <xdr:to>
      <xdr:col>8</xdr:col>
      <xdr:colOff>523875</xdr:colOff>
      <xdr:row>8</xdr:row>
      <xdr:rowOff>128587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EA Play Season Pass">
              <a:extLst>
                <a:ext uri="{FF2B5EF4-FFF2-40B4-BE49-F238E27FC236}">
                  <a16:creationId xmlns:a16="http://schemas.microsoft.com/office/drawing/2014/main" id="{17ADD879-26FC-3F60-94EA-7313242791B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A Play Season Pas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01075" y="661987"/>
              <a:ext cx="1828800" cy="990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1190625</xdr:colOff>
      <xdr:row>20</xdr:row>
      <xdr:rowOff>100012</xdr:rowOff>
    </xdr:from>
    <xdr:to>
      <xdr:col>9</xdr:col>
      <xdr:colOff>361950</xdr:colOff>
      <xdr:row>34</xdr:row>
      <xdr:rowOff>176212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74B38C5-5625-6295-CB4B-41C82F496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161925</xdr:colOff>
      <xdr:row>4</xdr:row>
      <xdr:rowOff>38100</xdr:rowOff>
    </xdr:from>
    <xdr:to>
      <xdr:col>3</xdr:col>
      <xdr:colOff>704850</xdr:colOff>
      <xdr:row>9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Minecraft Season Pass">
              <a:extLst>
                <a:ext uri="{FF2B5EF4-FFF2-40B4-BE49-F238E27FC236}">
                  <a16:creationId xmlns:a16="http://schemas.microsoft.com/office/drawing/2014/main" id="{4A4FCD33-381B-D705-0C06-FA50C544D4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inecraft Season Pas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00250" y="800100"/>
              <a:ext cx="1828800" cy="962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4</xdr:col>
      <xdr:colOff>476250</xdr:colOff>
      <xdr:row>22</xdr:row>
      <xdr:rowOff>95250</xdr:rowOff>
    </xdr:from>
    <xdr:to>
      <xdr:col>6</xdr:col>
      <xdr:colOff>142875</xdr:colOff>
      <xdr:row>24</xdr:row>
      <xdr:rowOff>0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72C11CA1-F8C5-0B40-C962-3C0A2257E836}"/>
            </a:ext>
          </a:extLst>
        </xdr:cNvPr>
        <xdr:cNvSpPr txBox="1"/>
      </xdr:nvSpPr>
      <xdr:spPr>
        <a:xfrm>
          <a:off x="5638800" y="4286250"/>
          <a:ext cx="2143125" cy="285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 b="1" i="0">
              <a:latin typeface="Arial Nova" panose="020B0504020202020204" pitchFamily="34" charset="0"/>
            </a:rPr>
            <a:t>Automatic Renewal</a:t>
          </a:r>
        </a:p>
      </xdr:txBody>
    </xdr:sp>
    <xdr:clientData/>
  </xdr:twoCellAnchor>
  <xdr:twoCellAnchor editAs="oneCell">
    <xdr:from>
      <xdr:col>5</xdr:col>
      <xdr:colOff>892175</xdr:colOff>
      <xdr:row>2</xdr:row>
      <xdr:rowOff>38100</xdr:rowOff>
    </xdr:from>
    <xdr:to>
      <xdr:col>7</xdr:col>
      <xdr:colOff>244475</xdr:colOff>
      <xdr:row>8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Subscription Type">
              <a:extLst>
                <a:ext uri="{FF2B5EF4-FFF2-40B4-BE49-F238E27FC236}">
                  <a16:creationId xmlns:a16="http://schemas.microsoft.com/office/drawing/2014/main" id="{2E4D69E6-13EF-536E-EEC4-142BA95466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92875" y="419100"/>
              <a:ext cx="1828800" cy="1257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286844</xdr:colOff>
      <xdr:row>1</xdr:row>
      <xdr:rowOff>116632</xdr:rowOff>
    </xdr:from>
    <xdr:to>
      <xdr:col>0</xdr:col>
      <xdr:colOff>1851665</xdr:colOff>
      <xdr:row>2</xdr:row>
      <xdr:rowOff>9719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5DFCF0C-F7CA-470F-99EE-81DE395AD9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20" t="24721" r="37361" b="28691"/>
        <a:stretch>
          <a:fillRect/>
        </a:stretch>
      </xdr:blipFill>
      <xdr:spPr>
        <a:xfrm>
          <a:off x="286844" y="311020"/>
          <a:ext cx="1564821" cy="476250"/>
        </a:xfrm>
        <a:prstGeom prst="rect">
          <a:avLst/>
        </a:prstGeom>
      </xdr:spPr>
    </xdr:pic>
    <xdr:clientData/>
  </xdr:twoCellAnchor>
  <xdr:twoCellAnchor editAs="absolute">
    <xdr:from>
      <xdr:col>0</xdr:col>
      <xdr:colOff>154854</xdr:colOff>
      <xdr:row>3</xdr:row>
      <xdr:rowOff>97194</xdr:rowOff>
    </xdr:from>
    <xdr:to>
      <xdr:col>0</xdr:col>
      <xdr:colOff>1983654</xdr:colOff>
      <xdr:row>9</xdr:row>
      <xdr:rowOff>188167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Plan 1">
              <a:extLst>
                <a:ext uri="{FF2B5EF4-FFF2-40B4-BE49-F238E27FC236}">
                  <a16:creationId xmlns:a16="http://schemas.microsoft.com/office/drawing/2014/main" id="{B6A180C5-2FAC-44E3-8E58-92B12A0F29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4854" y="1073507"/>
              <a:ext cx="1828800" cy="12339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twoCellAnchor editAs="absolute">
    <xdr:from>
      <xdr:col>0</xdr:col>
      <xdr:colOff>154854</xdr:colOff>
      <xdr:row>15</xdr:row>
      <xdr:rowOff>116341</xdr:rowOff>
    </xdr:from>
    <xdr:to>
      <xdr:col>0</xdr:col>
      <xdr:colOff>1983654</xdr:colOff>
      <xdr:row>20</xdr:row>
      <xdr:rowOff>135002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EA Play Season Pass 1">
              <a:extLst>
                <a:ext uri="{FF2B5EF4-FFF2-40B4-BE49-F238E27FC236}">
                  <a16:creationId xmlns:a16="http://schemas.microsoft.com/office/drawing/2014/main" id="{C849ADC5-6415-402D-B03B-06A656E1A24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A Play Season Pass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4854" y="3378654"/>
              <a:ext cx="1828800" cy="97116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twoCellAnchor editAs="absolute">
    <xdr:from>
      <xdr:col>2</xdr:col>
      <xdr:colOff>68036</xdr:colOff>
      <xdr:row>14</xdr:row>
      <xdr:rowOff>187876</xdr:rowOff>
    </xdr:from>
    <xdr:to>
      <xdr:col>17</xdr:col>
      <xdr:colOff>19439</xdr:colOff>
      <xdr:row>29</xdr:row>
      <xdr:rowOff>15259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7837C723-DB49-4E8A-B979-149F2AC531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0</xdr:col>
      <xdr:colOff>154854</xdr:colOff>
      <xdr:row>10</xdr:row>
      <xdr:rowOff>69737</xdr:rowOff>
    </xdr:from>
    <xdr:to>
      <xdr:col>0</xdr:col>
      <xdr:colOff>1983654</xdr:colOff>
      <xdr:row>15</xdr:row>
      <xdr:rowOff>59823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Minecraft Season Pass 1">
              <a:extLst>
                <a:ext uri="{FF2B5EF4-FFF2-40B4-BE49-F238E27FC236}">
                  <a16:creationId xmlns:a16="http://schemas.microsoft.com/office/drawing/2014/main" id="{E1096CE0-4253-4E0B-8518-CDC911B058C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inecraft Season Pass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4854" y="2379550"/>
              <a:ext cx="1828800" cy="94258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twoCellAnchor editAs="absolute">
    <xdr:from>
      <xdr:col>0</xdr:col>
      <xdr:colOff>154854</xdr:colOff>
      <xdr:row>20</xdr:row>
      <xdr:rowOff>184668</xdr:rowOff>
    </xdr:from>
    <xdr:to>
      <xdr:col>0</xdr:col>
      <xdr:colOff>1983654</xdr:colOff>
      <xdr:row>27</xdr:row>
      <xdr:rowOff>81254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Subscription Type 1">
              <a:extLst>
                <a:ext uri="{FF2B5EF4-FFF2-40B4-BE49-F238E27FC236}">
                  <a16:creationId xmlns:a16="http://schemas.microsoft.com/office/drawing/2014/main" id="{8AA114FA-CDCD-44A9-A90F-B48470DE4FA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4854" y="4399481"/>
              <a:ext cx="1828800" cy="123008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twoCellAnchor editAs="absolute">
    <xdr:from>
      <xdr:col>2</xdr:col>
      <xdr:colOff>106913</xdr:colOff>
      <xdr:row>5</xdr:row>
      <xdr:rowOff>43737</xdr:rowOff>
    </xdr:from>
    <xdr:to>
      <xdr:col>7</xdr:col>
      <xdr:colOff>320740</xdr:colOff>
      <xdr:row>13</xdr:row>
      <xdr:rowOff>170089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FE1A6329-40EF-C195-502E-4C7442D0B89A}"/>
            </a:ext>
          </a:extLst>
        </xdr:cNvPr>
        <xdr:cNvGrpSpPr/>
      </xdr:nvGrpSpPr>
      <xdr:grpSpPr>
        <a:xfrm>
          <a:off x="2488163" y="1401050"/>
          <a:ext cx="5083483" cy="1650352"/>
          <a:chOff x="2944974" y="1428750"/>
          <a:chExt cx="5102679" cy="1681454"/>
        </a:xfrm>
      </xdr:grpSpPr>
      <xdr:grpSp>
        <xdr:nvGrpSpPr>
          <xdr:cNvPr id="13" name="Agrupar 12">
            <a:extLst>
              <a:ext uri="{FF2B5EF4-FFF2-40B4-BE49-F238E27FC236}">
                <a16:creationId xmlns:a16="http://schemas.microsoft.com/office/drawing/2014/main" id="{C1089B12-BC31-6F80-5AF6-9943686C0148}"/>
              </a:ext>
            </a:extLst>
          </xdr:cNvPr>
          <xdr:cNvGrpSpPr/>
        </xdr:nvGrpSpPr>
        <xdr:grpSpPr>
          <a:xfrm>
            <a:off x="2944974" y="1428750"/>
            <a:ext cx="5102679" cy="1681454"/>
            <a:chOff x="2944974" y="1428750"/>
            <a:chExt cx="5102679" cy="1681454"/>
          </a:xfrm>
        </xdr:grpSpPr>
        <xdr:sp macro="" textlink="">
          <xdr:nvSpPr>
            <xdr:cNvPr id="10" name="Retângulo: Cantos Arredondados 9">
              <a:extLst>
                <a:ext uri="{FF2B5EF4-FFF2-40B4-BE49-F238E27FC236}">
                  <a16:creationId xmlns:a16="http://schemas.microsoft.com/office/drawing/2014/main" id="{9A44DF66-4EBC-58AC-899F-97D7AB64D403}"/>
                </a:ext>
              </a:extLst>
            </xdr:cNvPr>
            <xdr:cNvSpPr/>
          </xdr:nvSpPr>
          <xdr:spPr>
            <a:xfrm>
              <a:off x="2944974" y="1428750"/>
              <a:ext cx="5102679" cy="1681454"/>
            </a:xfrm>
            <a:prstGeom prst="roundRect">
              <a:avLst/>
            </a:prstGeom>
            <a:solidFill>
              <a:schemeClr val="bg1"/>
            </a:solidFill>
            <a:ln>
              <a:solidFill>
                <a:srgbClr val="2AE6B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J19">
          <xdr:nvSpPr>
            <xdr:cNvPr id="11" name="Retângulo: Cantos Arredondados 10">
              <a:extLst>
                <a:ext uri="{FF2B5EF4-FFF2-40B4-BE49-F238E27FC236}">
                  <a16:creationId xmlns:a16="http://schemas.microsoft.com/office/drawing/2014/main" id="{3B5359FD-92E4-16A4-49C9-D625CD67E3CD}"/>
                </a:ext>
              </a:extLst>
            </xdr:cNvPr>
            <xdr:cNvSpPr/>
          </xdr:nvSpPr>
          <xdr:spPr>
            <a:xfrm>
              <a:off x="4558393" y="1924440"/>
              <a:ext cx="3207398" cy="690075"/>
            </a:xfrm>
            <a:prstGeom prst="roundRect">
              <a:avLst/>
            </a:prstGeom>
            <a:solidFill>
              <a:srgbClr val="5BF6A8"/>
            </a:solidFill>
            <a:ln>
              <a:solidFill>
                <a:srgbClr val="2AE6B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fld id="{7E767778-195B-44D9-ABA4-4DB894BEDE87}" type="TxLink">
                <a:rPr lang="en-US" sz="3600" b="0" i="0" u="none" strike="noStrike">
                  <a:solidFill>
                    <a:schemeClr val="bg1"/>
                  </a:solidFill>
                  <a:latin typeface="Aptos Narrow"/>
                </a:rPr>
                <a:pPr algn="l"/>
                <a:t>R$ 600,00</a:t>
              </a:fld>
              <a:endParaRPr lang="pt-BR" sz="28700">
                <a:solidFill>
                  <a:schemeClr val="bg1"/>
                </a:solidFill>
              </a:endParaRPr>
            </a:p>
          </xdr:txBody>
        </xdr:sp>
        <xdr:sp macro="" textlink="">
          <xdr:nvSpPr>
            <xdr:cNvPr id="12" name="CaixaDeTexto 6">
              <a:extLst>
                <a:ext uri="{FF2B5EF4-FFF2-40B4-BE49-F238E27FC236}">
                  <a16:creationId xmlns:a16="http://schemas.microsoft.com/office/drawing/2014/main" id="{62231A8D-9566-5C72-402D-1001B2A860BE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938781" y="1525943"/>
              <a:ext cx="3115065" cy="3887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pt-BR" sz="1400" b="1" i="0">
                  <a:solidFill>
                    <a:srgbClr val="2AE6B1"/>
                  </a:solidFill>
                  <a:latin typeface="Arial Nova" panose="020B0504020202020204" pitchFamily="34" charset="0"/>
                </a:rPr>
                <a:t>EA</a:t>
              </a:r>
              <a:r>
                <a:rPr lang="pt-BR" sz="1400" b="1" i="0" baseline="0">
                  <a:solidFill>
                    <a:srgbClr val="2AE6B1"/>
                  </a:solidFill>
                  <a:latin typeface="Arial Nova" panose="020B0504020202020204" pitchFamily="34" charset="0"/>
                </a:rPr>
                <a:t> PLAY TOTAL SUBSCRIPTIONS</a:t>
              </a:r>
              <a:endParaRPr lang="pt-BR" sz="1400" b="1" i="0">
                <a:solidFill>
                  <a:srgbClr val="2AE6B1"/>
                </a:solidFill>
                <a:latin typeface="Arial Nova" panose="020B0504020202020204" pitchFamily="34" charset="0"/>
              </a:endParaRPr>
            </a:p>
          </xdr:txBody>
        </xdr:sp>
      </xdr:grpSp>
      <xdr:pic>
        <xdr:nvPicPr>
          <xdr:cNvPr id="14" name="Imagem 13">
            <a:extLst>
              <a:ext uri="{FF2B5EF4-FFF2-40B4-BE49-F238E27FC236}">
                <a16:creationId xmlns:a16="http://schemas.microsoft.com/office/drawing/2014/main" id="{006CBF19-AB48-4B81-B4D7-FF7C85645B0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187959" y="1650157"/>
            <a:ext cx="1219200" cy="1219200"/>
          </a:xfrm>
          <a:prstGeom prst="rect">
            <a:avLst/>
          </a:prstGeom>
        </xdr:spPr>
      </xdr:pic>
    </xdr:grpSp>
    <xdr:clientData/>
  </xdr:twoCellAnchor>
  <xdr:twoCellAnchor editAs="absolute">
    <xdr:from>
      <xdr:col>8</xdr:col>
      <xdr:colOff>242985</xdr:colOff>
      <xdr:row>5</xdr:row>
      <xdr:rowOff>43737</xdr:rowOff>
    </xdr:from>
    <xdr:to>
      <xdr:col>17</xdr:col>
      <xdr:colOff>9720</xdr:colOff>
      <xdr:row>13</xdr:row>
      <xdr:rowOff>170089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A3062B47-A3F3-32D7-A144-3BF1E5897998}"/>
            </a:ext>
          </a:extLst>
        </xdr:cNvPr>
        <xdr:cNvGrpSpPr/>
      </xdr:nvGrpSpPr>
      <xdr:grpSpPr>
        <a:xfrm>
          <a:off x="8101110" y="1401050"/>
          <a:ext cx="5065016" cy="1650352"/>
          <a:chOff x="8339235" y="1419031"/>
          <a:chExt cx="5102679" cy="1681454"/>
        </a:xfrm>
      </xdr:grpSpPr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E6881ED6-EC58-0694-3571-2B68052CF0A0}"/>
              </a:ext>
            </a:extLst>
          </xdr:cNvPr>
          <xdr:cNvGrpSpPr/>
        </xdr:nvGrpSpPr>
        <xdr:grpSpPr>
          <a:xfrm>
            <a:off x="8339235" y="1419031"/>
            <a:ext cx="5102679" cy="1681454"/>
            <a:chOff x="2944974" y="1428750"/>
            <a:chExt cx="5102679" cy="1681454"/>
          </a:xfrm>
        </xdr:grpSpPr>
        <xdr:sp macro="" textlink="">
          <xdr:nvSpPr>
            <xdr:cNvPr id="19" name="Retângulo: Cantos Arredondados 18">
              <a:extLst>
                <a:ext uri="{FF2B5EF4-FFF2-40B4-BE49-F238E27FC236}">
                  <a16:creationId xmlns:a16="http://schemas.microsoft.com/office/drawing/2014/main" id="{DB7AA2B5-8686-E0AC-7043-CD9FA8F34586}"/>
                </a:ext>
              </a:extLst>
            </xdr:cNvPr>
            <xdr:cNvSpPr/>
          </xdr:nvSpPr>
          <xdr:spPr>
            <a:xfrm>
              <a:off x="2944974" y="1428750"/>
              <a:ext cx="5102679" cy="1681454"/>
            </a:xfrm>
            <a:prstGeom prst="roundRect">
              <a:avLst/>
            </a:prstGeom>
            <a:solidFill>
              <a:schemeClr val="bg1"/>
            </a:solidFill>
            <a:ln>
              <a:solidFill>
                <a:srgbClr val="2AE6B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J18">
          <xdr:nvSpPr>
            <xdr:cNvPr id="20" name="Retângulo: Cantos Arredondados 19">
              <a:extLst>
                <a:ext uri="{FF2B5EF4-FFF2-40B4-BE49-F238E27FC236}">
                  <a16:creationId xmlns:a16="http://schemas.microsoft.com/office/drawing/2014/main" id="{3F2F0272-119F-C077-860B-4EDE1433DD11}"/>
                </a:ext>
              </a:extLst>
            </xdr:cNvPr>
            <xdr:cNvSpPr/>
          </xdr:nvSpPr>
          <xdr:spPr>
            <a:xfrm>
              <a:off x="4558393" y="1924440"/>
              <a:ext cx="3207398" cy="690075"/>
            </a:xfrm>
            <a:prstGeom prst="roundRect">
              <a:avLst/>
            </a:prstGeom>
            <a:solidFill>
              <a:srgbClr val="5BF6A8"/>
            </a:solidFill>
            <a:ln>
              <a:solidFill>
                <a:srgbClr val="2AE6B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fld id="{6E9B11C9-30B1-4BB8-934B-51AF7A2304B5}" type="TxLink">
                <a:rPr lang="en-US" sz="3600" b="0" i="0" u="none" strike="noStrike">
                  <a:solidFill>
                    <a:schemeClr val="bg1"/>
                  </a:solidFill>
                  <a:latin typeface="Aptos Narrow"/>
                </a:rPr>
                <a:pPr algn="l"/>
                <a:t>R$ 940,00</a:t>
              </a:fld>
              <a:endParaRPr lang="pt-BR" sz="148100">
                <a:solidFill>
                  <a:schemeClr val="bg1"/>
                </a:solidFill>
              </a:endParaRPr>
            </a:p>
          </xdr:txBody>
        </xdr:sp>
        <xdr:sp macro="" textlink="">
          <xdr:nvSpPr>
            <xdr:cNvPr id="21" name="CaixaDeTexto 6">
              <a:extLst>
                <a:ext uri="{FF2B5EF4-FFF2-40B4-BE49-F238E27FC236}">
                  <a16:creationId xmlns:a16="http://schemas.microsoft.com/office/drawing/2014/main" id="{D763D9BC-D306-092C-7B62-057B57671A35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570659" y="1525943"/>
              <a:ext cx="4023394" cy="3887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pt-BR" sz="1400" b="1" i="0" baseline="0">
                  <a:solidFill>
                    <a:srgbClr val="2AE6B1"/>
                  </a:solidFill>
                  <a:latin typeface="Arial Nova" panose="020B0504020202020204" pitchFamily="34" charset="0"/>
                </a:rPr>
                <a:t>MINECRAFT PASS TOTAL SUBSCRIPTIONS</a:t>
              </a:r>
              <a:endParaRPr lang="pt-BR" sz="1400" b="1" i="0">
                <a:solidFill>
                  <a:srgbClr val="2AE6B1"/>
                </a:solidFill>
                <a:latin typeface="Arial Nova" panose="020B0504020202020204" pitchFamily="34" charset="0"/>
              </a:endParaRPr>
            </a:p>
          </xdr:txBody>
        </xdr:sp>
      </xdr:grpSp>
      <xdr:grpSp>
        <xdr:nvGrpSpPr>
          <xdr:cNvPr id="22" name="Agrupar 21">
            <a:extLst>
              <a:ext uri="{FF2B5EF4-FFF2-40B4-BE49-F238E27FC236}">
                <a16:creationId xmlns:a16="http://schemas.microsoft.com/office/drawing/2014/main" id="{DD98AFBD-D277-4406-80BE-CBA70CCECC58}"/>
              </a:ext>
            </a:extLst>
          </xdr:cNvPr>
          <xdr:cNvGrpSpPr/>
        </xdr:nvGrpSpPr>
        <xdr:grpSpPr>
          <a:xfrm>
            <a:off x="8426709" y="1846684"/>
            <a:ext cx="1457909" cy="752476"/>
            <a:chOff x="3495675" y="5400674"/>
            <a:chExt cx="1549476" cy="752476"/>
          </a:xfrm>
        </xdr:grpSpPr>
        <xdr:pic>
          <xdr:nvPicPr>
            <xdr:cNvPr id="23" name="Imagem 22">
              <a:extLst>
                <a:ext uri="{FF2B5EF4-FFF2-40B4-BE49-F238E27FC236}">
                  <a16:creationId xmlns:a16="http://schemas.microsoft.com/office/drawing/2014/main" id="{BC8E2F7C-B64A-07EC-5268-58ED60BD1C8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4" name="Gráfico 23">
              <a:extLst>
                <a:ext uri="{FF2B5EF4-FFF2-40B4-BE49-F238E27FC236}">
                  <a16:creationId xmlns:a16="http://schemas.microsoft.com/office/drawing/2014/main" id="{A9759AF1-3321-4054-A480-E734576481F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2</xdr:col>
      <xdr:colOff>48597</xdr:colOff>
      <xdr:row>3</xdr:row>
      <xdr:rowOff>38877</xdr:rowOff>
    </xdr:from>
    <xdr:to>
      <xdr:col>7</xdr:col>
      <xdr:colOff>116633</xdr:colOff>
      <xdr:row>4</xdr:row>
      <xdr:rowOff>126352</xdr:rowOff>
    </xdr:to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35139ECF-75ED-468F-7935-037C9E87181D}"/>
            </a:ext>
          </a:extLst>
        </xdr:cNvPr>
        <xdr:cNvSpPr txBox="1"/>
      </xdr:nvSpPr>
      <xdr:spPr>
        <a:xfrm>
          <a:off x="2439566" y="1020535"/>
          <a:ext cx="4956888" cy="2818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0" i="0" u="none" strike="noStrike" baseline="0">
              <a:solidFill>
                <a:schemeClr val="bg1">
                  <a:lumMod val="65000"/>
                </a:schemeClr>
              </a:solidFill>
              <a:effectLst/>
              <a:latin typeface="+mn-lt"/>
              <a:ea typeface="+mn-ea"/>
              <a:cs typeface="+mn-cs"/>
            </a:rPr>
            <a:t>Calculation Period </a:t>
          </a:r>
          <a:r>
            <a:rPr lang="pt-BR" sz="1100" baseline="0">
              <a:solidFill>
                <a:schemeClr val="bg1">
                  <a:lumMod val="65000"/>
                </a:schemeClr>
              </a:solidFill>
            </a:rPr>
            <a:t>: 01/01/2024 - 31/12/2024 | Update date: 17/10/2026 19:01:00</a:t>
          </a:r>
          <a:endParaRPr lang="pt-BR" sz="110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0.2625</cdr:x>
      <cdr:y>0.01063</cdr:y>
    </cdr:from>
    <cdr:to>
      <cdr:x>0.76704</cdr:x>
      <cdr:y>0.17518</cdr:y>
    </cdr:to>
    <cdr:sp macro="" textlink="">
      <cdr:nvSpPr>
        <cdr:cNvPr id="2" name="CaixaDeTexto 6">
          <a:extLst xmlns:a="http://schemas.openxmlformats.org/drawingml/2006/main">
            <a:ext uri="{FF2B5EF4-FFF2-40B4-BE49-F238E27FC236}">
              <a16:creationId xmlns:a16="http://schemas.microsoft.com/office/drawing/2014/main" id="{72C11CA1-F8C5-0B40-C962-3C0A2257E836}"/>
            </a:ext>
          </a:extLst>
        </cdr:cNvPr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2577841" y="29158"/>
          <a:ext cx="4954683" cy="4514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2400" b="1" i="0">
              <a:solidFill>
                <a:srgbClr val="2AE6B1"/>
              </a:solidFill>
              <a:latin typeface="+mn-lt"/>
            </a:rPr>
            <a:t>Automatic Renewal</a:t>
          </a:r>
          <a:r>
            <a:rPr lang="pt-BR" sz="2400" b="1" i="0" baseline="0">
              <a:solidFill>
                <a:srgbClr val="2AE6B1"/>
              </a:solidFill>
              <a:latin typeface="+mn-lt"/>
            </a:rPr>
            <a:t> Xbox Game Pass</a:t>
          </a:r>
          <a:endParaRPr lang="pt-BR" sz="2400" b="1" i="0">
            <a:solidFill>
              <a:srgbClr val="2AE6B1"/>
            </a:solidFill>
            <a:latin typeface="+mn-lt"/>
          </a:endParaRPr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heus Dias Valentim Lopes" refreshedDate="46312.608573611113" createdVersion="8" refreshedVersion="8" minRefreshableVersion="3" recordCount="295" xr:uid="{7F6279F8-A3BC-4121-A1E1-3A282127F869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58436450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x v="0"/>
    <x v="0"/>
    <x v="0"/>
    <x v="0"/>
    <x v="0"/>
    <n v="20"/>
    <n v="5"/>
    <n v="60"/>
  </r>
  <r>
    <n v="3232"/>
    <x v="1"/>
    <x v="1"/>
    <d v="2024-01-15T00:00:00"/>
    <x v="1"/>
    <x v="1"/>
    <x v="1"/>
    <x v="1"/>
    <x v="1"/>
    <x v="1"/>
    <n v="0"/>
    <n v="0"/>
    <n v="5"/>
  </r>
  <r>
    <n v="3233"/>
    <x v="2"/>
    <x v="2"/>
    <d v="2024-02-10T00:00:00"/>
    <x v="0"/>
    <x v="2"/>
    <x v="2"/>
    <x v="1"/>
    <x v="1"/>
    <x v="0"/>
    <n v="20"/>
    <n v="10"/>
    <n v="20"/>
  </r>
  <r>
    <n v="3234"/>
    <x v="3"/>
    <x v="0"/>
    <d v="2024-02-20T00:00:00"/>
    <x v="1"/>
    <x v="0"/>
    <x v="0"/>
    <x v="0"/>
    <x v="0"/>
    <x v="0"/>
    <n v="20"/>
    <n v="3"/>
    <n v="62"/>
  </r>
  <r>
    <n v="3235"/>
    <x v="4"/>
    <x v="1"/>
    <d v="2024-03-05T00:00:00"/>
    <x v="0"/>
    <x v="1"/>
    <x v="0"/>
    <x v="1"/>
    <x v="1"/>
    <x v="1"/>
    <n v="0"/>
    <n v="1"/>
    <n v="4"/>
  </r>
  <r>
    <n v="3236"/>
    <x v="5"/>
    <x v="2"/>
    <d v="2024-03-02T00:00:00"/>
    <x v="1"/>
    <x v="2"/>
    <x v="0"/>
    <x v="1"/>
    <x v="1"/>
    <x v="0"/>
    <n v="20"/>
    <n v="2"/>
    <n v="28"/>
  </r>
  <r>
    <n v="3237"/>
    <x v="6"/>
    <x v="0"/>
    <d v="2024-03-03T00:00:00"/>
    <x v="0"/>
    <x v="0"/>
    <x v="2"/>
    <x v="0"/>
    <x v="0"/>
    <x v="0"/>
    <n v="20"/>
    <n v="10"/>
    <n v="55"/>
  </r>
  <r>
    <n v="3238"/>
    <x v="7"/>
    <x v="1"/>
    <d v="2024-03-04T00:00:00"/>
    <x v="0"/>
    <x v="1"/>
    <x v="1"/>
    <x v="1"/>
    <x v="1"/>
    <x v="1"/>
    <n v="0"/>
    <n v="0"/>
    <n v="5"/>
  </r>
  <r>
    <n v="3239"/>
    <x v="8"/>
    <x v="0"/>
    <d v="2024-03-05T00:00:00"/>
    <x v="1"/>
    <x v="0"/>
    <x v="0"/>
    <x v="0"/>
    <x v="0"/>
    <x v="0"/>
    <n v="20"/>
    <n v="5"/>
    <n v="60"/>
  </r>
  <r>
    <n v="3240"/>
    <x v="9"/>
    <x v="2"/>
    <d v="2024-03-06T00:00:00"/>
    <x v="0"/>
    <x v="2"/>
    <x v="2"/>
    <x v="1"/>
    <x v="1"/>
    <x v="0"/>
    <n v="20"/>
    <n v="15"/>
    <n v="15"/>
  </r>
  <r>
    <n v="3241"/>
    <x v="10"/>
    <x v="1"/>
    <d v="2024-03-07T00:00:00"/>
    <x v="1"/>
    <x v="1"/>
    <x v="0"/>
    <x v="1"/>
    <x v="1"/>
    <x v="1"/>
    <n v="0"/>
    <n v="1"/>
    <n v="4"/>
  </r>
  <r>
    <n v="3242"/>
    <x v="11"/>
    <x v="0"/>
    <d v="2024-03-08T00:00:00"/>
    <x v="0"/>
    <x v="0"/>
    <x v="1"/>
    <x v="0"/>
    <x v="0"/>
    <x v="0"/>
    <n v="20"/>
    <n v="20"/>
    <n v="45"/>
  </r>
  <r>
    <n v="3243"/>
    <x v="12"/>
    <x v="2"/>
    <d v="2024-03-09T00:00:00"/>
    <x v="1"/>
    <x v="2"/>
    <x v="0"/>
    <x v="1"/>
    <x v="1"/>
    <x v="0"/>
    <n v="20"/>
    <n v="10"/>
    <n v="20"/>
  </r>
  <r>
    <n v="3244"/>
    <x v="13"/>
    <x v="1"/>
    <d v="2024-03-10T00:00:00"/>
    <x v="0"/>
    <x v="1"/>
    <x v="2"/>
    <x v="1"/>
    <x v="1"/>
    <x v="1"/>
    <n v="0"/>
    <n v="0"/>
    <n v="5"/>
  </r>
  <r>
    <n v="3245"/>
    <x v="14"/>
    <x v="0"/>
    <d v="2024-03-11T00:00:00"/>
    <x v="1"/>
    <x v="0"/>
    <x v="0"/>
    <x v="0"/>
    <x v="0"/>
    <x v="0"/>
    <n v="20"/>
    <n v="8"/>
    <n v="57"/>
  </r>
  <r>
    <n v="3246"/>
    <x v="15"/>
    <x v="2"/>
    <d v="2024-03-12T00:00:00"/>
    <x v="0"/>
    <x v="2"/>
    <x v="1"/>
    <x v="1"/>
    <x v="1"/>
    <x v="0"/>
    <n v="20"/>
    <n v="12"/>
    <n v="18"/>
  </r>
  <r>
    <n v="3247"/>
    <x v="16"/>
    <x v="1"/>
    <d v="2024-03-13T00:00:00"/>
    <x v="1"/>
    <x v="1"/>
    <x v="0"/>
    <x v="1"/>
    <x v="1"/>
    <x v="1"/>
    <n v="0"/>
    <n v="2"/>
    <n v="3"/>
  </r>
  <r>
    <n v="3248"/>
    <x v="17"/>
    <x v="0"/>
    <d v="2024-03-14T00:00:00"/>
    <x v="0"/>
    <x v="0"/>
    <x v="2"/>
    <x v="0"/>
    <x v="0"/>
    <x v="0"/>
    <n v="20"/>
    <n v="7"/>
    <n v="58"/>
  </r>
  <r>
    <n v="3249"/>
    <x v="18"/>
    <x v="2"/>
    <d v="2024-03-15T00:00:00"/>
    <x v="1"/>
    <x v="2"/>
    <x v="0"/>
    <x v="1"/>
    <x v="1"/>
    <x v="0"/>
    <n v="20"/>
    <n v="5"/>
    <n v="25"/>
  </r>
  <r>
    <n v="3250"/>
    <x v="19"/>
    <x v="1"/>
    <d v="2024-03-16T00:00:00"/>
    <x v="0"/>
    <x v="1"/>
    <x v="1"/>
    <x v="1"/>
    <x v="1"/>
    <x v="1"/>
    <n v="0"/>
    <n v="0"/>
    <n v="5"/>
  </r>
  <r>
    <n v="3251"/>
    <x v="20"/>
    <x v="0"/>
    <d v="2024-03-17T00:00:00"/>
    <x v="1"/>
    <x v="0"/>
    <x v="0"/>
    <x v="0"/>
    <x v="0"/>
    <x v="0"/>
    <n v="20"/>
    <n v="3"/>
    <n v="62"/>
  </r>
  <r>
    <n v="3252"/>
    <x v="21"/>
    <x v="2"/>
    <d v="2024-03-18T00:00:00"/>
    <x v="0"/>
    <x v="2"/>
    <x v="2"/>
    <x v="1"/>
    <x v="1"/>
    <x v="0"/>
    <n v="20"/>
    <n v="15"/>
    <n v="15"/>
  </r>
  <r>
    <n v="3253"/>
    <x v="22"/>
    <x v="1"/>
    <d v="2024-03-19T00:00:00"/>
    <x v="1"/>
    <x v="1"/>
    <x v="0"/>
    <x v="1"/>
    <x v="1"/>
    <x v="1"/>
    <n v="0"/>
    <n v="1"/>
    <n v="4"/>
  </r>
  <r>
    <n v="3254"/>
    <x v="23"/>
    <x v="0"/>
    <d v="2024-03-20T00:00:00"/>
    <x v="0"/>
    <x v="0"/>
    <x v="1"/>
    <x v="0"/>
    <x v="0"/>
    <x v="0"/>
    <n v="20"/>
    <n v="20"/>
    <n v="45"/>
  </r>
  <r>
    <n v="3255"/>
    <x v="24"/>
    <x v="2"/>
    <d v="2024-03-21T00:00:00"/>
    <x v="1"/>
    <x v="2"/>
    <x v="0"/>
    <x v="1"/>
    <x v="1"/>
    <x v="0"/>
    <n v="20"/>
    <n v="10"/>
    <n v="20"/>
  </r>
  <r>
    <n v="3256"/>
    <x v="25"/>
    <x v="1"/>
    <d v="2024-03-22T00:00:00"/>
    <x v="0"/>
    <x v="1"/>
    <x v="2"/>
    <x v="1"/>
    <x v="1"/>
    <x v="1"/>
    <n v="0"/>
    <n v="0"/>
    <n v="5"/>
  </r>
  <r>
    <n v="3257"/>
    <x v="26"/>
    <x v="0"/>
    <d v="2024-03-23T00:00:00"/>
    <x v="1"/>
    <x v="0"/>
    <x v="0"/>
    <x v="0"/>
    <x v="0"/>
    <x v="0"/>
    <n v="20"/>
    <n v="5"/>
    <n v="60"/>
  </r>
  <r>
    <n v="3258"/>
    <x v="27"/>
    <x v="2"/>
    <d v="2024-03-24T00:00:00"/>
    <x v="0"/>
    <x v="2"/>
    <x v="1"/>
    <x v="1"/>
    <x v="1"/>
    <x v="0"/>
    <n v="20"/>
    <n v="15"/>
    <n v="15"/>
  </r>
  <r>
    <n v="3259"/>
    <x v="28"/>
    <x v="1"/>
    <d v="2024-03-25T00:00:00"/>
    <x v="1"/>
    <x v="1"/>
    <x v="0"/>
    <x v="1"/>
    <x v="1"/>
    <x v="1"/>
    <n v="0"/>
    <n v="1"/>
    <n v="4"/>
  </r>
  <r>
    <n v="3260"/>
    <x v="29"/>
    <x v="0"/>
    <d v="2024-03-26T00:00:00"/>
    <x v="0"/>
    <x v="0"/>
    <x v="2"/>
    <x v="0"/>
    <x v="0"/>
    <x v="0"/>
    <n v="20"/>
    <n v="7"/>
    <n v="58"/>
  </r>
  <r>
    <n v="3261"/>
    <x v="30"/>
    <x v="2"/>
    <d v="2024-03-27T00:00:00"/>
    <x v="1"/>
    <x v="2"/>
    <x v="0"/>
    <x v="1"/>
    <x v="1"/>
    <x v="0"/>
    <n v="20"/>
    <n v="10"/>
    <n v="20"/>
  </r>
  <r>
    <n v="3262"/>
    <x v="31"/>
    <x v="1"/>
    <d v="2024-03-28T00:00:00"/>
    <x v="0"/>
    <x v="1"/>
    <x v="1"/>
    <x v="1"/>
    <x v="1"/>
    <x v="1"/>
    <n v="0"/>
    <n v="0"/>
    <n v="5"/>
  </r>
  <r>
    <n v="3263"/>
    <x v="32"/>
    <x v="0"/>
    <d v="2024-03-29T00:00:00"/>
    <x v="1"/>
    <x v="0"/>
    <x v="0"/>
    <x v="0"/>
    <x v="0"/>
    <x v="0"/>
    <n v="20"/>
    <n v="3"/>
    <n v="62"/>
  </r>
  <r>
    <n v="3264"/>
    <x v="33"/>
    <x v="2"/>
    <d v="2024-03-30T00:00:00"/>
    <x v="0"/>
    <x v="2"/>
    <x v="2"/>
    <x v="1"/>
    <x v="1"/>
    <x v="0"/>
    <n v="20"/>
    <n v="15"/>
    <n v="15"/>
  </r>
  <r>
    <n v="3265"/>
    <x v="34"/>
    <x v="1"/>
    <d v="2024-03-31T00:00:00"/>
    <x v="1"/>
    <x v="1"/>
    <x v="0"/>
    <x v="1"/>
    <x v="1"/>
    <x v="1"/>
    <n v="0"/>
    <n v="1"/>
    <n v="4"/>
  </r>
  <r>
    <n v="3266"/>
    <x v="35"/>
    <x v="1"/>
    <d v="2024-04-01T00:00:00"/>
    <x v="0"/>
    <x v="1"/>
    <x v="0"/>
    <x v="1"/>
    <x v="1"/>
    <x v="1"/>
    <n v="0"/>
    <n v="0"/>
    <n v="5"/>
  </r>
  <r>
    <n v="3267"/>
    <x v="36"/>
    <x v="0"/>
    <d v="2024-04-02T00:00:00"/>
    <x v="1"/>
    <x v="0"/>
    <x v="2"/>
    <x v="0"/>
    <x v="0"/>
    <x v="0"/>
    <n v="20"/>
    <n v="7"/>
    <n v="58"/>
  </r>
  <r>
    <n v="3268"/>
    <x v="37"/>
    <x v="2"/>
    <d v="2024-04-03T00:00:00"/>
    <x v="0"/>
    <x v="2"/>
    <x v="1"/>
    <x v="1"/>
    <x v="1"/>
    <x v="0"/>
    <n v="20"/>
    <n v="10"/>
    <n v="20"/>
  </r>
  <r>
    <n v="3269"/>
    <x v="38"/>
    <x v="1"/>
    <d v="2024-04-04T00:00:00"/>
    <x v="1"/>
    <x v="1"/>
    <x v="2"/>
    <x v="1"/>
    <x v="1"/>
    <x v="1"/>
    <n v="0"/>
    <n v="1"/>
    <n v="4"/>
  </r>
  <r>
    <n v="3270"/>
    <x v="39"/>
    <x v="0"/>
    <d v="2024-04-05T00:00:00"/>
    <x v="0"/>
    <x v="0"/>
    <x v="0"/>
    <x v="0"/>
    <x v="0"/>
    <x v="0"/>
    <n v="20"/>
    <n v="15"/>
    <n v="50"/>
  </r>
  <r>
    <n v="3271"/>
    <x v="40"/>
    <x v="2"/>
    <d v="2024-04-06T00:00:00"/>
    <x v="1"/>
    <x v="2"/>
    <x v="0"/>
    <x v="1"/>
    <x v="1"/>
    <x v="0"/>
    <n v="20"/>
    <n v="5"/>
    <n v="25"/>
  </r>
  <r>
    <n v="3272"/>
    <x v="41"/>
    <x v="1"/>
    <d v="2024-04-07T00:00:00"/>
    <x v="0"/>
    <x v="1"/>
    <x v="1"/>
    <x v="1"/>
    <x v="1"/>
    <x v="1"/>
    <n v="0"/>
    <n v="0"/>
    <n v="5"/>
  </r>
  <r>
    <n v="3273"/>
    <x v="42"/>
    <x v="0"/>
    <d v="2024-04-08T00:00:00"/>
    <x v="1"/>
    <x v="0"/>
    <x v="2"/>
    <x v="0"/>
    <x v="0"/>
    <x v="0"/>
    <n v="20"/>
    <n v="20"/>
    <n v="45"/>
  </r>
  <r>
    <n v="3274"/>
    <x v="43"/>
    <x v="2"/>
    <d v="2024-04-09T00:00:00"/>
    <x v="0"/>
    <x v="2"/>
    <x v="2"/>
    <x v="1"/>
    <x v="1"/>
    <x v="0"/>
    <n v="20"/>
    <n v="12"/>
    <n v="18"/>
  </r>
  <r>
    <n v="3275"/>
    <x v="44"/>
    <x v="1"/>
    <d v="2024-04-10T00:00:00"/>
    <x v="1"/>
    <x v="1"/>
    <x v="0"/>
    <x v="1"/>
    <x v="1"/>
    <x v="1"/>
    <n v="0"/>
    <n v="2"/>
    <n v="3"/>
  </r>
  <r>
    <n v="3276"/>
    <x v="45"/>
    <x v="0"/>
    <d v="2024-04-11T00:00:00"/>
    <x v="0"/>
    <x v="0"/>
    <x v="1"/>
    <x v="0"/>
    <x v="0"/>
    <x v="0"/>
    <n v="20"/>
    <n v="5"/>
    <n v="60"/>
  </r>
  <r>
    <n v="3277"/>
    <x v="46"/>
    <x v="2"/>
    <d v="2024-04-12T00:00:00"/>
    <x v="1"/>
    <x v="2"/>
    <x v="0"/>
    <x v="1"/>
    <x v="1"/>
    <x v="0"/>
    <n v="20"/>
    <n v="10"/>
    <n v="20"/>
  </r>
  <r>
    <n v="3278"/>
    <x v="47"/>
    <x v="1"/>
    <d v="2024-04-13T00:00:00"/>
    <x v="0"/>
    <x v="1"/>
    <x v="2"/>
    <x v="1"/>
    <x v="1"/>
    <x v="1"/>
    <n v="0"/>
    <n v="0"/>
    <n v="5"/>
  </r>
  <r>
    <n v="3279"/>
    <x v="48"/>
    <x v="0"/>
    <d v="2024-04-14T00:00:00"/>
    <x v="1"/>
    <x v="0"/>
    <x v="0"/>
    <x v="0"/>
    <x v="0"/>
    <x v="0"/>
    <n v="20"/>
    <n v="3"/>
    <n v="62"/>
  </r>
  <r>
    <n v="3280"/>
    <x v="49"/>
    <x v="2"/>
    <d v="2024-04-15T00:00:00"/>
    <x v="0"/>
    <x v="2"/>
    <x v="1"/>
    <x v="1"/>
    <x v="1"/>
    <x v="0"/>
    <n v="20"/>
    <n v="15"/>
    <n v="15"/>
  </r>
  <r>
    <n v="3281"/>
    <x v="50"/>
    <x v="1"/>
    <d v="2024-04-16T00:00:00"/>
    <x v="1"/>
    <x v="1"/>
    <x v="0"/>
    <x v="1"/>
    <x v="1"/>
    <x v="1"/>
    <n v="0"/>
    <n v="1"/>
    <n v="4"/>
  </r>
  <r>
    <n v="3282"/>
    <x v="51"/>
    <x v="0"/>
    <d v="2024-04-17T00:00:00"/>
    <x v="0"/>
    <x v="0"/>
    <x v="2"/>
    <x v="0"/>
    <x v="0"/>
    <x v="0"/>
    <n v="20"/>
    <n v="7"/>
    <n v="58"/>
  </r>
  <r>
    <n v="3283"/>
    <x v="52"/>
    <x v="2"/>
    <d v="2024-04-18T00:00:00"/>
    <x v="1"/>
    <x v="2"/>
    <x v="0"/>
    <x v="1"/>
    <x v="1"/>
    <x v="0"/>
    <n v="20"/>
    <n v="10"/>
    <n v="20"/>
  </r>
  <r>
    <n v="3284"/>
    <x v="53"/>
    <x v="1"/>
    <d v="2024-04-19T00:00:00"/>
    <x v="0"/>
    <x v="1"/>
    <x v="1"/>
    <x v="1"/>
    <x v="1"/>
    <x v="1"/>
    <n v="0"/>
    <n v="0"/>
    <n v="5"/>
  </r>
  <r>
    <n v="3285"/>
    <x v="54"/>
    <x v="0"/>
    <d v="2024-04-20T00:00:00"/>
    <x v="1"/>
    <x v="0"/>
    <x v="0"/>
    <x v="0"/>
    <x v="0"/>
    <x v="0"/>
    <n v="20"/>
    <n v="20"/>
    <n v="45"/>
  </r>
  <r>
    <n v="3286"/>
    <x v="55"/>
    <x v="2"/>
    <d v="2024-04-21T00:00:00"/>
    <x v="0"/>
    <x v="2"/>
    <x v="2"/>
    <x v="1"/>
    <x v="1"/>
    <x v="0"/>
    <n v="20"/>
    <n v="15"/>
    <n v="15"/>
  </r>
  <r>
    <n v="3287"/>
    <x v="56"/>
    <x v="1"/>
    <d v="2024-04-22T00:00:00"/>
    <x v="1"/>
    <x v="1"/>
    <x v="0"/>
    <x v="1"/>
    <x v="1"/>
    <x v="1"/>
    <n v="0"/>
    <n v="1"/>
    <n v="4"/>
  </r>
  <r>
    <n v="3288"/>
    <x v="57"/>
    <x v="0"/>
    <d v="2024-04-23T00:00:00"/>
    <x v="0"/>
    <x v="0"/>
    <x v="1"/>
    <x v="0"/>
    <x v="0"/>
    <x v="0"/>
    <n v="20"/>
    <n v="3"/>
    <n v="62"/>
  </r>
  <r>
    <n v="3289"/>
    <x v="58"/>
    <x v="2"/>
    <d v="2024-04-24T00:00:00"/>
    <x v="1"/>
    <x v="2"/>
    <x v="0"/>
    <x v="1"/>
    <x v="1"/>
    <x v="0"/>
    <n v="20"/>
    <n v="10"/>
    <n v="20"/>
  </r>
  <r>
    <n v="3290"/>
    <x v="59"/>
    <x v="1"/>
    <d v="2024-04-25T00:00:00"/>
    <x v="0"/>
    <x v="1"/>
    <x v="2"/>
    <x v="1"/>
    <x v="1"/>
    <x v="1"/>
    <n v="0"/>
    <n v="0"/>
    <n v="5"/>
  </r>
  <r>
    <n v="3291"/>
    <x v="60"/>
    <x v="0"/>
    <d v="2024-04-26T00:00:00"/>
    <x v="1"/>
    <x v="0"/>
    <x v="0"/>
    <x v="0"/>
    <x v="0"/>
    <x v="0"/>
    <n v="20"/>
    <n v="5"/>
    <n v="60"/>
  </r>
  <r>
    <n v="3292"/>
    <x v="61"/>
    <x v="2"/>
    <d v="2024-04-27T00:00:00"/>
    <x v="0"/>
    <x v="2"/>
    <x v="1"/>
    <x v="1"/>
    <x v="1"/>
    <x v="0"/>
    <n v="20"/>
    <n v="15"/>
    <n v="15"/>
  </r>
  <r>
    <n v="3293"/>
    <x v="62"/>
    <x v="1"/>
    <d v="2024-04-28T00:00:00"/>
    <x v="1"/>
    <x v="1"/>
    <x v="0"/>
    <x v="1"/>
    <x v="1"/>
    <x v="1"/>
    <n v="0"/>
    <n v="1"/>
    <n v="4"/>
  </r>
  <r>
    <n v="3294"/>
    <x v="63"/>
    <x v="0"/>
    <d v="2024-04-29T00:00:00"/>
    <x v="0"/>
    <x v="0"/>
    <x v="2"/>
    <x v="0"/>
    <x v="0"/>
    <x v="0"/>
    <n v="20"/>
    <n v="20"/>
    <n v="45"/>
  </r>
  <r>
    <n v="3295"/>
    <x v="64"/>
    <x v="2"/>
    <d v="2024-04-30T00:00:00"/>
    <x v="1"/>
    <x v="2"/>
    <x v="0"/>
    <x v="1"/>
    <x v="1"/>
    <x v="0"/>
    <n v="20"/>
    <n v="5"/>
    <n v="25"/>
  </r>
  <r>
    <n v="3296"/>
    <x v="65"/>
    <x v="1"/>
    <d v="2024-05-01T00:00:00"/>
    <x v="1"/>
    <x v="1"/>
    <x v="0"/>
    <x v="1"/>
    <x v="1"/>
    <x v="1"/>
    <n v="0"/>
    <n v="0"/>
    <n v="5"/>
  </r>
  <r>
    <n v="3297"/>
    <x v="66"/>
    <x v="0"/>
    <d v="2024-05-02T00:00:00"/>
    <x v="0"/>
    <x v="0"/>
    <x v="2"/>
    <x v="0"/>
    <x v="0"/>
    <x v="0"/>
    <n v="20"/>
    <n v="7"/>
    <n v="58"/>
  </r>
  <r>
    <n v="3298"/>
    <x v="67"/>
    <x v="2"/>
    <d v="2024-05-03T00:00:00"/>
    <x v="1"/>
    <x v="2"/>
    <x v="1"/>
    <x v="1"/>
    <x v="1"/>
    <x v="0"/>
    <n v="20"/>
    <n v="10"/>
    <n v="20"/>
  </r>
  <r>
    <n v="3299"/>
    <x v="68"/>
    <x v="1"/>
    <d v="2024-05-04T00:00:00"/>
    <x v="0"/>
    <x v="1"/>
    <x v="2"/>
    <x v="1"/>
    <x v="1"/>
    <x v="1"/>
    <n v="0"/>
    <n v="1"/>
    <n v="4"/>
  </r>
  <r>
    <n v="3300"/>
    <x v="69"/>
    <x v="0"/>
    <d v="2024-05-05T00:00:00"/>
    <x v="1"/>
    <x v="0"/>
    <x v="0"/>
    <x v="0"/>
    <x v="0"/>
    <x v="0"/>
    <n v="20"/>
    <n v="15"/>
    <n v="50"/>
  </r>
  <r>
    <n v="3301"/>
    <x v="70"/>
    <x v="2"/>
    <d v="2024-05-06T00:00:00"/>
    <x v="0"/>
    <x v="2"/>
    <x v="0"/>
    <x v="1"/>
    <x v="1"/>
    <x v="0"/>
    <n v="20"/>
    <n v="5"/>
    <n v="25"/>
  </r>
  <r>
    <n v="3302"/>
    <x v="71"/>
    <x v="1"/>
    <d v="2024-05-07T00:00:00"/>
    <x v="1"/>
    <x v="1"/>
    <x v="1"/>
    <x v="1"/>
    <x v="1"/>
    <x v="1"/>
    <n v="0"/>
    <n v="0"/>
    <n v="5"/>
  </r>
  <r>
    <n v="3303"/>
    <x v="72"/>
    <x v="0"/>
    <d v="2024-05-08T00:00:00"/>
    <x v="0"/>
    <x v="0"/>
    <x v="2"/>
    <x v="0"/>
    <x v="0"/>
    <x v="0"/>
    <n v="20"/>
    <n v="20"/>
    <n v="45"/>
  </r>
  <r>
    <n v="3304"/>
    <x v="73"/>
    <x v="2"/>
    <d v="2024-05-09T00:00:00"/>
    <x v="1"/>
    <x v="2"/>
    <x v="2"/>
    <x v="1"/>
    <x v="1"/>
    <x v="0"/>
    <n v="20"/>
    <n v="12"/>
    <n v="18"/>
  </r>
  <r>
    <n v="3305"/>
    <x v="74"/>
    <x v="1"/>
    <d v="2024-05-10T00:00:00"/>
    <x v="0"/>
    <x v="1"/>
    <x v="0"/>
    <x v="1"/>
    <x v="1"/>
    <x v="1"/>
    <n v="0"/>
    <n v="2"/>
    <n v="3"/>
  </r>
  <r>
    <n v="3306"/>
    <x v="75"/>
    <x v="0"/>
    <d v="2024-05-11T00:00:00"/>
    <x v="1"/>
    <x v="0"/>
    <x v="1"/>
    <x v="0"/>
    <x v="0"/>
    <x v="0"/>
    <n v="20"/>
    <n v="5"/>
    <n v="60"/>
  </r>
  <r>
    <n v="3307"/>
    <x v="76"/>
    <x v="2"/>
    <d v="2024-05-12T00:00:00"/>
    <x v="0"/>
    <x v="2"/>
    <x v="0"/>
    <x v="1"/>
    <x v="1"/>
    <x v="0"/>
    <n v="20"/>
    <n v="10"/>
    <n v="20"/>
  </r>
  <r>
    <n v="3308"/>
    <x v="77"/>
    <x v="1"/>
    <d v="2024-05-13T00:00:00"/>
    <x v="1"/>
    <x v="1"/>
    <x v="2"/>
    <x v="1"/>
    <x v="1"/>
    <x v="1"/>
    <n v="0"/>
    <n v="0"/>
    <n v="5"/>
  </r>
  <r>
    <n v="3309"/>
    <x v="78"/>
    <x v="0"/>
    <d v="2024-05-14T00:00:00"/>
    <x v="0"/>
    <x v="0"/>
    <x v="0"/>
    <x v="0"/>
    <x v="0"/>
    <x v="0"/>
    <n v="20"/>
    <n v="3"/>
    <n v="62"/>
  </r>
  <r>
    <n v="3310"/>
    <x v="79"/>
    <x v="2"/>
    <d v="2024-05-15T00:00:00"/>
    <x v="1"/>
    <x v="2"/>
    <x v="1"/>
    <x v="1"/>
    <x v="1"/>
    <x v="0"/>
    <n v="20"/>
    <n v="15"/>
    <n v="15"/>
  </r>
  <r>
    <n v="3311"/>
    <x v="80"/>
    <x v="1"/>
    <d v="2024-05-16T00:00:00"/>
    <x v="0"/>
    <x v="1"/>
    <x v="0"/>
    <x v="1"/>
    <x v="1"/>
    <x v="1"/>
    <n v="0"/>
    <n v="1"/>
    <n v="4"/>
  </r>
  <r>
    <n v="3312"/>
    <x v="81"/>
    <x v="0"/>
    <d v="2024-05-17T00:00:00"/>
    <x v="1"/>
    <x v="0"/>
    <x v="2"/>
    <x v="0"/>
    <x v="0"/>
    <x v="0"/>
    <n v="20"/>
    <n v="7"/>
    <n v="58"/>
  </r>
  <r>
    <n v="3313"/>
    <x v="82"/>
    <x v="2"/>
    <d v="2024-05-18T00:00:00"/>
    <x v="0"/>
    <x v="2"/>
    <x v="0"/>
    <x v="1"/>
    <x v="1"/>
    <x v="0"/>
    <n v="20"/>
    <n v="10"/>
    <n v="20"/>
  </r>
  <r>
    <n v="3314"/>
    <x v="83"/>
    <x v="1"/>
    <d v="2024-05-19T00:00:00"/>
    <x v="1"/>
    <x v="1"/>
    <x v="1"/>
    <x v="1"/>
    <x v="1"/>
    <x v="1"/>
    <n v="0"/>
    <n v="0"/>
    <n v="5"/>
  </r>
  <r>
    <n v="3315"/>
    <x v="84"/>
    <x v="0"/>
    <d v="2024-05-20T00:00:00"/>
    <x v="0"/>
    <x v="0"/>
    <x v="0"/>
    <x v="0"/>
    <x v="0"/>
    <x v="0"/>
    <n v="20"/>
    <n v="20"/>
    <n v="45"/>
  </r>
  <r>
    <n v="3316"/>
    <x v="85"/>
    <x v="2"/>
    <d v="2024-05-21T00:00:00"/>
    <x v="1"/>
    <x v="2"/>
    <x v="2"/>
    <x v="1"/>
    <x v="1"/>
    <x v="0"/>
    <n v="20"/>
    <n v="15"/>
    <n v="15"/>
  </r>
  <r>
    <n v="3317"/>
    <x v="86"/>
    <x v="1"/>
    <d v="2024-05-22T00:00:00"/>
    <x v="0"/>
    <x v="1"/>
    <x v="0"/>
    <x v="1"/>
    <x v="1"/>
    <x v="1"/>
    <n v="0"/>
    <n v="1"/>
    <n v="4"/>
  </r>
  <r>
    <n v="3318"/>
    <x v="87"/>
    <x v="0"/>
    <d v="2024-05-23T00:00:00"/>
    <x v="1"/>
    <x v="0"/>
    <x v="1"/>
    <x v="0"/>
    <x v="0"/>
    <x v="0"/>
    <n v="20"/>
    <n v="3"/>
    <n v="62"/>
  </r>
  <r>
    <n v="3319"/>
    <x v="88"/>
    <x v="2"/>
    <d v="2024-05-24T00:00:00"/>
    <x v="0"/>
    <x v="2"/>
    <x v="0"/>
    <x v="1"/>
    <x v="1"/>
    <x v="0"/>
    <n v="20"/>
    <n v="10"/>
    <n v="20"/>
  </r>
  <r>
    <n v="3320"/>
    <x v="89"/>
    <x v="1"/>
    <d v="2024-05-25T00:00:00"/>
    <x v="1"/>
    <x v="1"/>
    <x v="2"/>
    <x v="1"/>
    <x v="1"/>
    <x v="1"/>
    <n v="0"/>
    <n v="0"/>
    <n v="5"/>
  </r>
  <r>
    <n v="3321"/>
    <x v="90"/>
    <x v="0"/>
    <d v="2024-05-26T00:00:00"/>
    <x v="0"/>
    <x v="0"/>
    <x v="0"/>
    <x v="0"/>
    <x v="0"/>
    <x v="0"/>
    <n v="20"/>
    <n v="5"/>
    <n v="60"/>
  </r>
  <r>
    <n v="3322"/>
    <x v="91"/>
    <x v="2"/>
    <d v="2024-05-27T00:00:00"/>
    <x v="1"/>
    <x v="2"/>
    <x v="1"/>
    <x v="1"/>
    <x v="1"/>
    <x v="0"/>
    <n v="20"/>
    <n v="15"/>
    <n v="15"/>
  </r>
  <r>
    <n v="3323"/>
    <x v="92"/>
    <x v="1"/>
    <d v="2024-05-28T00:00:00"/>
    <x v="0"/>
    <x v="1"/>
    <x v="0"/>
    <x v="1"/>
    <x v="1"/>
    <x v="1"/>
    <n v="0"/>
    <n v="1"/>
    <n v="4"/>
  </r>
  <r>
    <n v="3324"/>
    <x v="93"/>
    <x v="0"/>
    <d v="2024-05-29T00:00:00"/>
    <x v="1"/>
    <x v="0"/>
    <x v="2"/>
    <x v="0"/>
    <x v="0"/>
    <x v="0"/>
    <n v="20"/>
    <n v="20"/>
    <n v="45"/>
  </r>
  <r>
    <n v="3325"/>
    <x v="94"/>
    <x v="2"/>
    <d v="2024-05-30T00:00:00"/>
    <x v="0"/>
    <x v="2"/>
    <x v="2"/>
    <x v="1"/>
    <x v="1"/>
    <x v="0"/>
    <n v="20"/>
    <n v="15"/>
    <n v="15"/>
  </r>
  <r>
    <n v="3326"/>
    <x v="95"/>
    <x v="1"/>
    <d v="2024-05-31T00:00:00"/>
    <x v="1"/>
    <x v="1"/>
    <x v="1"/>
    <x v="1"/>
    <x v="1"/>
    <x v="1"/>
    <n v="0"/>
    <n v="0"/>
    <n v="5"/>
  </r>
  <r>
    <n v="3327"/>
    <x v="96"/>
    <x v="0"/>
    <d v="2024-06-01T00:00:00"/>
    <x v="0"/>
    <x v="0"/>
    <x v="0"/>
    <x v="0"/>
    <x v="0"/>
    <x v="0"/>
    <n v="20"/>
    <n v="7"/>
    <n v="58"/>
  </r>
  <r>
    <n v="3328"/>
    <x v="97"/>
    <x v="2"/>
    <d v="2024-06-02T00:00:00"/>
    <x v="1"/>
    <x v="2"/>
    <x v="1"/>
    <x v="1"/>
    <x v="1"/>
    <x v="0"/>
    <n v="20"/>
    <n v="10"/>
    <n v="20"/>
  </r>
  <r>
    <n v="3329"/>
    <x v="98"/>
    <x v="1"/>
    <d v="2024-06-03T00:00:00"/>
    <x v="0"/>
    <x v="1"/>
    <x v="2"/>
    <x v="1"/>
    <x v="1"/>
    <x v="1"/>
    <n v="0"/>
    <n v="1"/>
    <n v="4"/>
  </r>
  <r>
    <n v="3330"/>
    <x v="99"/>
    <x v="0"/>
    <d v="2024-06-04T00:00:00"/>
    <x v="1"/>
    <x v="0"/>
    <x v="0"/>
    <x v="0"/>
    <x v="0"/>
    <x v="0"/>
    <n v="20"/>
    <n v="15"/>
    <n v="50"/>
  </r>
  <r>
    <n v="3331"/>
    <x v="100"/>
    <x v="2"/>
    <d v="2024-06-05T00:00:00"/>
    <x v="0"/>
    <x v="2"/>
    <x v="0"/>
    <x v="1"/>
    <x v="1"/>
    <x v="0"/>
    <n v="20"/>
    <n v="5"/>
    <n v="25"/>
  </r>
  <r>
    <n v="3332"/>
    <x v="101"/>
    <x v="1"/>
    <d v="2024-06-06T00:00:00"/>
    <x v="1"/>
    <x v="1"/>
    <x v="1"/>
    <x v="1"/>
    <x v="1"/>
    <x v="1"/>
    <n v="0"/>
    <n v="0"/>
    <n v="5"/>
  </r>
  <r>
    <n v="3333"/>
    <x v="102"/>
    <x v="0"/>
    <d v="2024-06-07T00:00:00"/>
    <x v="0"/>
    <x v="0"/>
    <x v="2"/>
    <x v="0"/>
    <x v="0"/>
    <x v="0"/>
    <n v="20"/>
    <n v="20"/>
    <n v="45"/>
  </r>
  <r>
    <n v="3334"/>
    <x v="103"/>
    <x v="2"/>
    <d v="2024-06-08T00:00:00"/>
    <x v="1"/>
    <x v="2"/>
    <x v="2"/>
    <x v="1"/>
    <x v="1"/>
    <x v="0"/>
    <n v="20"/>
    <n v="12"/>
    <n v="18"/>
  </r>
  <r>
    <n v="3335"/>
    <x v="104"/>
    <x v="1"/>
    <d v="2024-06-09T00:00:00"/>
    <x v="0"/>
    <x v="1"/>
    <x v="0"/>
    <x v="1"/>
    <x v="1"/>
    <x v="1"/>
    <n v="0"/>
    <n v="2"/>
    <n v="3"/>
  </r>
  <r>
    <n v="3336"/>
    <x v="105"/>
    <x v="1"/>
    <d v="2024-06-10T00:00:00"/>
    <x v="0"/>
    <x v="1"/>
    <x v="0"/>
    <x v="1"/>
    <x v="1"/>
    <x v="1"/>
    <n v="0"/>
    <n v="0"/>
    <n v="5"/>
  </r>
  <r>
    <n v="3337"/>
    <x v="106"/>
    <x v="0"/>
    <d v="2024-06-11T00:00:00"/>
    <x v="1"/>
    <x v="0"/>
    <x v="2"/>
    <x v="0"/>
    <x v="0"/>
    <x v="0"/>
    <n v="20"/>
    <n v="7"/>
    <n v="58"/>
  </r>
  <r>
    <n v="3338"/>
    <x v="107"/>
    <x v="2"/>
    <d v="2024-06-12T00:00:00"/>
    <x v="0"/>
    <x v="2"/>
    <x v="1"/>
    <x v="1"/>
    <x v="1"/>
    <x v="0"/>
    <n v="20"/>
    <n v="10"/>
    <n v="20"/>
  </r>
  <r>
    <n v="3339"/>
    <x v="108"/>
    <x v="1"/>
    <d v="2024-06-13T00:00:00"/>
    <x v="1"/>
    <x v="1"/>
    <x v="2"/>
    <x v="1"/>
    <x v="1"/>
    <x v="1"/>
    <n v="0"/>
    <n v="1"/>
    <n v="4"/>
  </r>
  <r>
    <n v="3340"/>
    <x v="109"/>
    <x v="0"/>
    <d v="2024-06-14T00:00:00"/>
    <x v="0"/>
    <x v="0"/>
    <x v="0"/>
    <x v="0"/>
    <x v="0"/>
    <x v="0"/>
    <n v="20"/>
    <n v="15"/>
    <n v="50"/>
  </r>
  <r>
    <n v="3341"/>
    <x v="110"/>
    <x v="2"/>
    <d v="2024-06-15T00:00:00"/>
    <x v="1"/>
    <x v="2"/>
    <x v="0"/>
    <x v="1"/>
    <x v="1"/>
    <x v="0"/>
    <n v="20"/>
    <n v="5"/>
    <n v="25"/>
  </r>
  <r>
    <n v="3342"/>
    <x v="111"/>
    <x v="1"/>
    <d v="2024-06-16T00:00:00"/>
    <x v="0"/>
    <x v="1"/>
    <x v="1"/>
    <x v="1"/>
    <x v="1"/>
    <x v="1"/>
    <n v="0"/>
    <n v="0"/>
    <n v="5"/>
  </r>
  <r>
    <n v="3343"/>
    <x v="112"/>
    <x v="0"/>
    <d v="2024-06-17T00:00:00"/>
    <x v="1"/>
    <x v="0"/>
    <x v="2"/>
    <x v="0"/>
    <x v="0"/>
    <x v="0"/>
    <n v="20"/>
    <n v="20"/>
    <n v="45"/>
  </r>
  <r>
    <n v="3344"/>
    <x v="113"/>
    <x v="2"/>
    <d v="2024-06-18T00:00:00"/>
    <x v="0"/>
    <x v="2"/>
    <x v="2"/>
    <x v="1"/>
    <x v="1"/>
    <x v="0"/>
    <n v="20"/>
    <n v="12"/>
    <n v="18"/>
  </r>
  <r>
    <n v="3345"/>
    <x v="114"/>
    <x v="1"/>
    <d v="2024-06-19T00:00:00"/>
    <x v="1"/>
    <x v="1"/>
    <x v="0"/>
    <x v="1"/>
    <x v="1"/>
    <x v="1"/>
    <n v="0"/>
    <n v="2"/>
    <n v="3"/>
  </r>
  <r>
    <n v="3346"/>
    <x v="115"/>
    <x v="0"/>
    <d v="2024-06-20T00:00:00"/>
    <x v="0"/>
    <x v="0"/>
    <x v="1"/>
    <x v="0"/>
    <x v="0"/>
    <x v="0"/>
    <n v="20"/>
    <n v="5"/>
    <n v="60"/>
  </r>
  <r>
    <n v="3347"/>
    <x v="116"/>
    <x v="2"/>
    <d v="2024-06-21T00:00:00"/>
    <x v="1"/>
    <x v="2"/>
    <x v="0"/>
    <x v="1"/>
    <x v="1"/>
    <x v="0"/>
    <n v="20"/>
    <n v="10"/>
    <n v="20"/>
  </r>
  <r>
    <n v="3348"/>
    <x v="117"/>
    <x v="1"/>
    <d v="2024-06-22T00:00:00"/>
    <x v="0"/>
    <x v="1"/>
    <x v="2"/>
    <x v="1"/>
    <x v="1"/>
    <x v="1"/>
    <n v="0"/>
    <n v="0"/>
    <n v="5"/>
  </r>
  <r>
    <n v="3349"/>
    <x v="93"/>
    <x v="0"/>
    <d v="2024-06-23T00:00:00"/>
    <x v="1"/>
    <x v="0"/>
    <x v="0"/>
    <x v="0"/>
    <x v="0"/>
    <x v="0"/>
    <n v="20"/>
    <n v="3"/>
    <n v="62"/>
  </r>
  <r>
    <n v="3350"/>
    <x v="118"/>
    <x v="2"/>
    <d v="2024-06-24T00:00:00"/>
    <x v="0"/>
    <x v="2"/>
    <x v="1"/>
    <x v="1"/>
    <x v="1"/>
    <x v="0"/>
    <n v="20"/>
    <n v="15"/>
    <n v="15"/>
  </r>
  <r>
    <n v="3351"/>
    <x v="119"/>
    <x v="1"/>
    <d v="2024-06-25T00:00:00"/>
    <x v="1"/>
    <x v="1"/>
    <x v="0"/>
    <x v="1"/>
    <x v="1"/>
    <x v="1"/>
    <n v="0"/>
    <n v="1"/>
    <n v="4"/>
  </r>
  <r>
    <n v="3352"/>
    <x v="120"/>
    <x v="0"/>
    <d v="2024-06-26T00:00:00"/>
    <x v="0"/>
    <x v="0"/>
    <x v="2"/>
    <x v="0"/>
    <x v="0"/>
    <x v="0"/>
    <n v="20"/>
    <n v="7"/>
    <n v="58"/>
  </r>
  <r>
    <n v="3353"/>
    <x v="121"/>
    <x v="2"/>
    <d v="2024-06-27T00:00:00"/>
    <x v="1"/>
    <x v="2"/>
    <x v="0"/>
    <x v="1"/>
    <x v="1"/>
    <x v="0"/>
    <n v="20"/>
    <n v="10"/>
    <n v="20"/>
  </r>
  <r>
    <n v="3354"/>
    <x v="122"/>
    <x v="1"/>
    <d v="2024-06-28T00:00:00"/>
    <x v="0"/>
    <x v="1"/>
    <x v="1"/>
    <x v="1"/>
    <x v="1"/>
    <x v="1"/>
    <n v="0"/>
    <n v="0"/>
    <n v="5"/>
  </r>
  <r>
    <n v="3355"/>
    <x v="123"/>
    <x v="0"/>
    <d v="2024-06-29T00:00:00"/>
    <x v="1"/>
    <x v="0"/>
    <x v="0"/>
    <x v="0"/>
    <x v="0"/>
    <x v="0"/>
    <n v="20"/>
    <n v="20"/>
    <n v="45"/>
  </r>
  <r>
    <n v="3356"/>
    <x v="124"/>
    <x v="2"/>
    <d v="2024-06-30T00:00:00"/>
    <x v="0"/>
    <x v="2"/>
    <x v="2"/>
    <x v="1"/>
    <x v="1"/>
    <x v="0"/>
    <n v="20"/>
    <n v="15"/>
    <n v="15"/>
  </r>
  <r>
    <n v="3357"/>
    <x v="125"/>
    <x v="1"/>
    <d v="2024-07-01T00:00:00"/>
    <x v="1"/>
    <x v="1"/>
    <x v="0"/>
    <x v="1"/>
    <x v="1"/>
    <x v="1"/>
    <n v="0"/>
    <n v="1"/>
    <n v="4"/>
  </r>
  <r>
    <n v="3358"/>
    <x v="126"/>
    <x v="0"/>
    <d v="2024-07-02T00:00:00"/>
    <x v="0"/>
    <x v="0"/>
    <x v="1"/>
    <x v="0"/>
    <x v="0"/>
    <x v="0"/>
    <n v="20"/>
    <n v="3"/>
    <n v="62"/>
  </r>
  <r>
    <n v="3359"/>
    <x v="127"/>
    <x v="2"/>
    <d v="2024-07-03T00:00:00"/>
    <x v="1"/>
    <x v="2"/>
    <x v="0"/>
    <x v="1"/>
    <x v="1"/>
    <x v="0"/>
    <n v="20"/>
    <n v="10"/>
    <n v="20"/>
  </r>
  <r>
    <n v="3360"/>
    <x v="128"/>
    <x v="1"/>
    <d v="2024-07-04T00:00:00"/>
    <x v="0"/>
    <x v="1"/>
    <x v="2"/>
    <x v="1"/>
    <x v="1"/>
    <x v="1"/>
    <n v="0"/>
    <n v="0"/>
    <n v="5"/>
  </r>
  <r>
    <n v="3361"/>
    <x v="129"/>
    <x v="0"/>
    <d v="2024-07-05T00:00:00"/>
    <x v="1"/>
    <x v="0"/>
    <x v="0"/>
    <x v="0"/>
    <x v="0"/>
    <x v="0"/>
    <n v="20"/>
    <n v="15"/>
    <n v="50"/>
  </r>
  <r>
    <n v="3362"/>
    <x v="130"/>
    <x v="2"/>
    <d v="2024-07-06T00:00:00"/>
    <x v="0"/>
    <x v="2"/>
    <x v="1"/>
    <x v="1"/>
    <x v="1"/>
    <x v="0"/>
    <n v="20"/>
    <n v="15"/>
    <n v="15"/>
  </r>
  <r>
    <n v="3363"/>
    <x v="131"/>
    <x v="1"/>
    <d v="2024-07-07T00:00:00"/>
    <x v="1"/>
    <x v="1"/>
    <x v="0"/>
    <x v="1"/>
    <x v="1"/>
    <x v="1"/>
    <n v="0"/>
    <n v="1"/>
    <n v="4"/>
  </r>
  <r>
    <n v="3364"/>
    <x v="132"/>
    <x v="0"/>
    <d v="2024-07-08T00:00:00"/>
    <x v="0"/>
    <x v="0"/>
    <x v="2"/>
    <x v="0"/>
    <x v="0"/>
    <x v="0"/>
    <n v="20"/>
    <n v="7"/>
    <n v="58"/>
  </r>
  <r>
    <n v="3365"/>
    <x v="133"/>
    <x v="2"/>
    <d v="2024-07-09T00:00:00"/>
    <x v="1"/>
    <x v="2"/>
    <x v="0"/>
    <x v="1"/>
    <x v="1"/>
    <x v="0"/>
    <n v="20"/>
    <n v="10"/>
    <n v="20"/>
  </r>
  <r>
    <n v="3366"/>
    <x v="134"/>
    <x v="1"/>
    <d v="2024-07-10T00:00:00"/>
    <x v="0"/>
    <x v="1"/>
    <x v="0"/>
    <x v="1"/>
    <x v="1"/>
    <x v="1"/>
    <n v="0"/>
    <n v="0"/>
    <n v="5"/>
  </r>
  <r>
    <n v="3367"/>
    <x v="135"/>
    <x v="0"/>
    <d v="2024-07-11T00:00:00"/>
    <x v="1"/>
    <x v="0"/>
    <x v="2"/>
    <x v="0"/>
    <x v="0"/>
    <x v="0"/>
    <n v="20"/>
    <n v="7"/>
    <n v="58"/>
  </r>
  <r>
    <n v="3368"/>
    <x v="136"/>
    <x v="2"/>
    <d v="2024-07-12T00:00:00"/>
    <x v="0"/>
    <x v="2"/>
    <x v="1"/>
    <x v="1"/>
    <x v="1"/>
    <x v="0"/>
    <n v="20"/>
    <n v="10"/>
    <n v="20"/>
  </r>
  <r>
    <n v="3369"/>
    <x v="137"/>
    <x v="1"/>
    <d v="2024-07-13T00:00:00"/>
    <x v="1"/>
    <x v="1"/>
    <x v="2"/>
    <x v="1"/>
    <x v="1"/>
    <x v="1"/>
    <n v="0"/>
    <n v="1"/>
    <n v="4"/>
  </r>
  <r>
    <n v="3370"/>
    <x v="138"/>
    <x v="0"/>
    <d v="2024-07-14T00:00:00"/>
    <x v="0"/>
    <x v="0"/>
    <x v="0"/>
    <x v="0"/>
    <x v="0"/>
    <x v="0"/>
    <n v="20"/>
    <n v="15"/>
    <n v="50"/>
  </r>
  <r>
    <n v="3371"/>
    <x v="139"/>
    <x v="2"/>
    <d v="2024-07-15T00:00:00"/>
    <x v="1"/>
    <x v="2"/>
    <x v="0"/>
    <x v="1"/>
    <x v="1"/>
    <x v="0"/>
    <n v="20"/>
    <n v="5"/>
    <n v="25"/>
  </r>
  <r>
    <n v="3372"/>
    <x v="140"/>
    <x v="1"/>
    <d v="2024-07-16T00:00:00"/>
    <x v="0"/>
    <x v="1"/>
    <x v="1"/>
    <x v="1"/>
    <x v="1"/>
    <x v="1"/>
    <n v="0"/>
    <n v="0"/>
    <n v="5"/>
  </r>
  <r>
    <n v="3373"/>
    <x v="141"/>
    <x v="0"/>
    <d v="2024-07-17T00:00:00"/>
    <x v="1"/>
    <x v="0"/>
    <x v="2"/>
    <x v="0"/>
    <x v="0"/>
    <x v="0"/>
    <n v="20"/>
    <n v="20"/>
    <n v="45"/>
  </r>
  <r>
    <n v="3374"/>
    <x v="142"/>
    <x v="2"/>
    <d v="2024-07-18T00:00:00"/>
    <x v="0"/>
    <x v="2"/>
    <x v="2"/>
    <x v="1"/>
    <x v="1"/>
    <x v="0"/>
    <n v="20"/>
    <n v="12"/>
    <n v="18"/>
  </r>
  <r>
    <n v="3375"/>
    <x v="143"/>
    <x v="1"/>
    <d v="2024-07-19T00:00:00"/>
    <x v="1"/>
    <x v="1"/>
    <x v="0"/>
    <x v="1"/>
    <x v="1"/>
    <x v="1"/>
    <n v="0"/>
    <n v="2"/>
    <n v="3"/>
  </r>
  <r>
    <n v="3376"/>
    <x v="144"/>
    <x v="0"/>
    <d v="2024-07-20T00:00:00"/>
    <x v="0"/>
    <x v="0"/>
    <x v="1"/>
    <x v="0"/>
    <x v="0"/>
    <x v="0"/>
    <n v="20"/>
    <n v="5"/>
    <n v="60"/>
  </r>
  <r>
    <n v="3377"/>
    <x v="145"/>
    <x v="2"/>
    <d v="2024-07-21T00:00:00"/>
    <x v="1"/>
    <x v="2"/>
    <x v="0"/>
    <x v="1"/>
    <x v="1"/>
    <x v="0"/>
    <n v="20"/>
    <n v="10"/>
    <n v="20"/>
  </r>
  <r>
    <n v="3378"/>
    <x v="146"/>
    <x v="1"/>
    <d v="2024-07-22T00:00:00"/>
    <x v="0"/>
    <x v="1"/>
    <x v="2"/>
    <x v="1"/>
    <x v="1"/>
    <x v="1"/>
    <n v="0"/>
    <n v="0"/>
    <n v="5"/>
  </r>
  <r>
    <n v="3379"/>
    <x v="147"/>
    <x v="0"/>
    <d v="2024-07-23T00:00:00"/>
    <x v="1"/>
    <x v="0"/>
    <x v="0"/>
    <x v="0"/>
    <x v="0"/>
    <x v="0"/>
    <n v="20"/>
    <n v="3"/>
    <n v="62"/>
  </r>
  <r>
    <n v="3380"/>
    <x v="148"/>
    <x v="2"/>
    <d v="2024-07-24T00:00:00"/>
    <x v="0"/>
    <x v="2"/>
    <x v="1"/>
    <x v="1"/>
    <x v="1"/>
    <x v="0"/>
    <n v="20"/>
    <n v="15"/>
    <n v="15"/>
  </r>
  <r>
    <n v="3381"/>
    <x v="149"/>
    <x v="1"/>
    <d v="2024-07-25T00:00:00"/>
    <x v="1"/>
    <x v="1"/>
    <x v="0"/>
    <x v="1"/>
    <x v="1"/>
    <x v="1"/>
    <n v="0"/>
    <n v="1"/>
    <n v="4"/>
  </r>
  <r>
    <n v="3382"/>
    <x v="150"/>
    <x v="0"/>
    <d v="2024-07-26T00:00:00"/>
    <x v="0"/>
    <x v="0"/>
    <x v="2"/>
    <x v="0"/>
    <x v="0"/>
    <x v="0"/>
    <n v="20"/>
    <n v="7"/>
    <n v="58"/>
  </r>
  <r>
    <n v="3383"/>
    <x v="151"/>
    <x v="2"/>
    <d v="2024-07-27T00:00:00"/>
    <x v="1"/>
    <x v="2"/>
    <x v="0"/>
    <x v="1"/>
    <x v="1"/>
    <x v="0"/>
    <n v="20"/>
    <n v="10"/>
    <n v="20"/>
  </r>
  <r>
    <n v="3384"/>
    <x v="152"/>
    <x v="1"/>
    <d v="2024-07-28T00:00:00"/>
    <x v="0"/>
    <x v="1"/>
    <x v="1"/>
    <x v="1"/>
    <x v="1"/>
    <x v="1"/>
    <n v="0"/>
    <n v="0"/>
    <n v="5"/>
  </r>
  <r>
    <n v="3385"/>
    <x v="153"/>
    <x v="0"/>
    <d v="2024-07-29T00:00:00"/>
    <x v="1"/>
    <x v="0"/>
    <x v="0"/>
    <x v="0"/>
    <x v="0"/>
    <x v="0"/>
    <n v="20"/>
    <n v="20"/>
    <n v="45"/>
  </r>
  <r>
    <n v="3386"/>
    <x v="154"/>
    <x v="2"/>
    <d v="2024-07-30T00:00:00"/>
    <x v="0"/>
    <x v="2"/>
    <x v="2"/>
    <x v="1"/>
    <x v="1"/>
    <x v="0"/>
    <n v="20"/>
    <n v="15"/>
    <n v="15"/>
  </r>
  <r>
    <n v="3387"/>
    <x v="155"/>
    <x v="1"/>
    <d v="2024-07-31T00:00:00"/>
    <x v="1"/>
    <x v="1"/>
    <x v="0"/>
    <x v="1"/>
    <x v="1"/>
    <x v="1"/>
    <n v="0"/>
    <n v="1"/>
    <n v="4"/>
  </r>
  <r>
    <n v="3388"/>
    <x v="156"/>
    <x v="0"/>
    <d v="2024-08-01T00:00:00"/>
    <x v="0"/>
    <x v="0"/>
    <x v="1"/>
    <x v="0"/>
    <x v="0"/>
    <x v="0"/>
    <n v="20"/>
    <n v="3"/>
    <n v="62"/>
  </r>
  <r>
    <n v="3389"/>
    <x v="157"/>
    <x v="2"/>
    <d v="2024-08-02T00:00:00"/>
    <x v="1"/>
    <x v="2"/>
    <x v="0"/>
    <x v="1"/>
    <x v="1"/>
    <x v="0"/>
    <n v="20"/>
    <n v="10"/>
    <n v="20"/>
  </r>
  <r>
    <n v="3390"/>
    <x v="158"/>
    <x v="1"/>
    <d v="2024-08-03T00:00:00"/>
    <x v="0"/>
    <x v="1"/>
    <x v="2"/>
    <x v="1"/>
    <x v="1"/>
    <x v="1"/>
    <n v="0"/>
    <n v="0"/>
    <n v="5"/>
  </r>
  <r>
    <n v="3391"/>
    <x v="58"/>
    <x v="0"/>
    <d v="2024-08-04T00:00:00"/>
    <x v="1"/>
    <x v="0"/>
    <x v="0"/>
    <x v="0"/>
    <x v="0"/>
    <x v="0"/>
    <n v="20"/>
    <n v="15"/>
    <n v="50"/>
  </r>
  <r>
    <n v="3392"/>
    <x v="159"/>
    <x v="2"/>
    <d v="2024-08-05T00:00:00"/>
    <x v="0"/>
    <x v="2"/>
    <x v="1"/>
    <x v="1"/>
    <x v="1"/>
    <x v="0"/>
    <n v="20"/>
    <n v="15"/>
    <n v="15"/>
  </r>
  <r>
    <n v="3393"/>
    <x v="160"/>
    <x v="1"/>
    <d v="2024-08-06T00:00:00"/>
    <x v="1"/>
    <x v="1"/>
    <x v="0"/>
    <x v="1"/>
    <x v="1"/>
    <x v="1"/>
    <n v="0"/>
    <n v="1"/>
    <n v="4"/>
  </r>
  <r>
    <n v="3394"/>
    <x v="161"/>
    <x v="0"/>
    <d v="2024-08-07T00:00:00"/>
    <x v="0"/>
    <x v="0"/>
    <x v="2"/>
    <x v="0"/>
    <x v="0"/>
    <x v="0"/>
    <n v="20"/>
    <n v="7"/>
    <n v="58"/>
  </r>
  <r>
    <n v="3395"/>
    <x v="162"/>
    <x v="2"/>
    <d v="2024-08-08T00:00:00"/>
    <x v="1"/>
    <x v="2"/>
    <x v="0"/>
    <x v="1"/>
    <x v="1"/>
    <x v="0"/>
    <n v="20"/>
    <n v="10"/>
    <n v="20"/>
  </r>
  <r>
    <n v="3396"/>
    <x v="163"/>
    <x v="1"/>
    <d v="2024-08-09T00:00:00"/>
    <x v="0"/>
    <x v="1"/>
    <x v="1"/>
    <x v="1"/>
    <x v="1"/>
    <x v="1"/>
    <n v="0"/>
    <n v="0"/>
    <n v="5"/>
  </r>
  <r>
    <n v="3397"/>
    <x v="90"/>
    <x v="0"/>
    <d v="2024-08-10T00:00:00"/>
    <x v="1"/>
    <x v="0"/>
    <x v="0"/>
    <x v="0"/>
    <x v="0"/>
    <x v="0"/>
    <n v="20"/>
    <n v="20"/>
    <n v="45"/>
  </r>
  <r>
    <n v="3398"/>
    <x v="164"/>
    <x v="2"/>
    <d v="2024-08-11T00:00:00"/>
    <x v="0"/>
    <x v="2"/>
    <x v="2"/>
    <x v="1"/>
    <x v="1"/>
    <x v="0"/>
    <n v="20"/>
    <n v="15"/>
    <n v="15"/>
  </r>
  <r>
    <n v="3399"/>
    <x v="165"/>
    <x v="1"/>
    <d v="2024-08-12T00:00:00"/>
    <x v="1"/>
    <x v="1"/>
    <x v="0"/>
    <x v="1"/>
    <x v="1"/>
    <x v="1"/>
    <n v="0"/>
    <n v="1"/>
    <n v="4"/>
  </r>
  <r>
    <n v="3400"/>
    <x v="166"/>
    <x v="0"/>
    <d v="2024-08-13T00:00:00"/>
    <x v="0"/>
    <x v="0"/>
    <x v="1"/>
    <x v="0"/>
    <x v="0"/>
    <x v="0"/>
    <n v="20"/>
    <n v="5"/>
    <n v="60"/>
  </r>
  <r>
    <n v="3401"/>
    <x v="167"/>
    <x v="2"/>
    <d v="2024-08-14T00:00:00"/>
    <x v="1"/>
    <x v="2"/>
    <x v="0"/>
    <x v="1"/>
    <x v="1"/>
    <x v="0"/>
    <n v="20"/>
    <n v="10"/>
    <n v="20"/>
  </r>
  <r>
    <n v="3402"/>
    <x v="168"/>
    <x v="1"/>
    <d v="2024-08-15T00:00:00"/>
    <x v="0"/>
    <x v="1"/>
    <x v="2"/>
    <x v="1"/>
    <x v="1"/>
    <x v="1"/>
    <n v="0"/>
    <n v="0"/>
    <n v="5"/>
  </r>
  <r>
    <n v="3403"/>
    <x v="169"/>
    <x v="0"/>
    <d v="2024-08-16T00:00:00"/>
    <x v="1"/>
    <x v="0"/>
    <x v="0"/>
    <x v="0"/>
    <x v="0"/>
    <x v="0"/>
    <n v="20"/>
    <n v="3"/>
    <n v="62"/>
  </r>
  <r>
    <n v="3404"/>
    <x v="170"/>
    <x v="2"/>
    <d v="2024-08-17T00:00:00"/>
    <x v="0"/>
    <x v="2"/>
    <x v="1"/>
    <x v="1"/>
    <x v="1"/>
    <x v="0"/>
    <n v="20"/>
    <n v="15"/>
    <n v="15"/>
  </r>
  <r>
    <n v="3405"/>
    <x v="171"/>
    <x v="1"/>
    <d v="2024-08-18T00:00:00"/>
    <x v="1"/>
    <x v="1"/>
    <x v="0"/>
    <x v="1"/>
    <x v="1"/>
    <x v="1"/>
    <n v="0"/>
    <n v="1"/>
    <n v="4"/>
  </r>
  <r>
    <n v="3406"/>
    <x v="172"/>
    <x v="1"/>
    <d v="2024-08-19T00:00:00"/>
    <x v="0"/>
    <x v="1"/>
    <x v="0"/>
    <x v="1"/>
    <x v="1"/>
    <x v="1"/>
    <n v="0"/>
    <n v="0"/>
    <n v="5"/>
  </r>
  <r>
    <n v="3407"/>
    <x v="173"/>
    <x v="0"/>
    <d v="2024-08-20T00:00:00"/>
    <x v="1"/>
    <x v="0"/>
    <x v="2"/>
    <x v="0"/>
    <x v="0"/>
    <x v="0"/>
    <n v="20"/>
    <n v="7"/>
    <n v="58"/>
  </r>
  <r>
    <n v="3408"/>
    <x v="174"/>
    <x v="2"/>
    <d v="2024-08-21T00:00:00"/>
    <x v="0"/>
    <x v="2"/>
    <x v="1"/>
    <x v="1"/>
    <x v="1"/>
    <x v="0"/>
    <n v="20"/>
    <n v="10"/>
    <n v="20"/>
  </r>
  <r>
    <n v="3409"/>
    <x v="175"/>
    <x v="1"/>
    <d v="2024-08-22T00:00:00"/>
    <x v="1"/>
    <x v="1"/>
    <x v="2"/>
    <x v="1"/>
    <x v="1"/>
    <x v="1"/>
    <n v="0"/>
    <n v="1"/>
    <n v="4"/>
  </r>
  <r>
    <n v="3410"/>
    <x v="176"/>
    <x v="0"/>
    <d v="2024-08-23T00:00:00"/>
    <x v="0"/>
    <x v="0"/>
    <x v="0"/>
    <x v="0"/>
    <x v="0"/>
    <x v="0"/>
    <n v="20"/>
    <n v="15"/>
    <n v="50"/>
  </r>
  <r>
    <n v="3411"/>
    <x v="177"/>
    <x v="2"/>
    <d v="2024-08-24T00:00:00"/>
    <x v="1"/>
    <x v="2"/>
    <x v="0"/>
    <x v="1"/>
    <x v="1"/>
    <x v="0"/>
    <n v="20"/>
    <n v="5"/>
    <n v="25"/>
  </r>
  <r>
    <n v="3412"/>
    <x v="178"/>
    <x v="1"/>
    <d v="2024-08-25T00:00:00"/>
    <x v="0"/>
    <x v="1"/>
    <x v="1"/>
    <x v="1"/>
    <x v="1"/>
    <x v="1"/>
    <n v="0"/>
    <n v="0"/>
    <n v="5"/>
  </r>
  <r>
    <n v="3413"/>
    <x v="179"/>
    <x v="0"/>
    <d v="2024-08-26T00:00:00"/>
    <x v="1"/>
    <x v="0"/>
    <x v="2"/>
    <x v="0"/>
    <x v="0"/>
    <x v="0"/>
    <n v="20"/>
    <n v="20"/>
    <n v="45"/>
  </r>
  <r>
    <n v="3414"/>
    <x v="180"/>
    <x v="2"/>
    <d v="2024-08-27T00:00:00"/>
    <x v="0"/>
    <x v="2"/>
    <x v="2"/>
    <x v="1"/>
    <x v="1"/>
    <x v="0"/>
    <n v="20"/>
    <n v="12"/>
    <n v="18"/>
  </r>
  <r>
    <n v="3415"/>
    <x v="181"/>
    <x v="1"/>
    <d v="2024-08-28T00:00:00"/>
    <x v="1"/>
    <x v="1"/>
    <x v="0"/>
    <x v="1"/>
    <x v="1"/>
    <x v="1"/>
    <n v="0"/>
    <n v="2"/>
    <n v="3"/>
  </r>
  <r>
    <n v="3416"/>
    <x v="182"/>
    <x v="0"/>
    <d v="2024-08-29T00:00:00"/>
    <x v="0"/>
    <x v="0"/>
    <x v="1"/>
    <x v="0"/>
    <x v="0"/>
    <x v="0"/>
    <n v="20"/>
    <n v="5"/>
    <n v="60"/>
  </r>
  <r>
    <n v="3417"/>
    <x v="183"/>
    <x v="2"/>
    <d v="2024-08-30T00:00:00"/>
    <x v="1"/>
    <x v="2"/>
    <x v="0"/>
    <x v="1"/>
    <x v="1"/>
    <x v="0"/>
    <n v="20"/>
    <n v="10"/>
    <n v="20"/>
  </r>
  <r>
    <n v="3418"/>
    <x v="184"/>
    <x v="1"/>
    <d v="2024-08-31T00:00:00"/>
    <x v="0"/>
    <x v="1"/>
    <x v="2"/>
    <x v="1"/>
    <x v="1"/>
    <x v="1"/>
    <n v="0"/>
    <n v="0"/>
    <n v="5"/>
  </r>
  <r>
    <n v="3419"/>
    <x v="185"/>
    <x v="0"/>
    <d v="2024-09-01T00:00:00"/>
    <x v="1"/>
    <x v="0"/>
    <x v="0"/>
    <x v="0"/>
    <x v="0"/>
    <x v="0"/>
    <n v="20"/>
    <n v="3"/>
    <n v="62"/>
  </r>
  <r>
    <n v="3420"/>
    <x v="186"/>
    <x v="2"/>
    <d v="2024-09-02T00:00:00"/>
    <x v="0"/>
    <x v="2"/>
    <x v="1"/>
    <x v="1"/>
    <x v="1"/>
    <x v="0"/>
    <n v="20"/>
    <n v="15"/>
    <n v="15"/>
  </r>
  <r>
    <n v="3421"/>
    <x v="15"/>
    <x v="1"/>
    <d v="2024-09-03T00:00:00"/>
    <x v="1"/>
    <x v="1"/>
    <x v="0"/>
    <x v="1"/>
    <x v="1"/>
    <x v="1"/>
    <n v="0"/>
    <n v="1"/>
    <n v="4"/>
  </r>
  <r>
    <n v="3422"/>
    <x v="187"/>
    <x v="0"/>
    <d v="2024-09-04T00:00:00"/>
    <x v="0"/>
    <x v="0"/>
    <x v="2"/>
    <x v="0"/>
    <x v="0"/>
    <x v="0"/>
    <n v="20"/>
    <n v="7"/>
    <n v="58"/>
  </r>
  <r>
    <n v="3423"/>
    <x v="188"/>
    <x v="2"/>
    <d v="2024-09-05T00:00:00"/>
    <x v="1"/>
    <x v="2"/>
    <x v="0"/>
    <x v="1"/>
    <x v="1"/>
    <x v="0"/>
    <n v="20"/>
    <n v="10"/>
    <n v="20"/>
  </r>
  <r>
    <n v="3424"/>
    <x v="14"/>
    <x v="1"/>
    <d v="2024-09-06T00:00:00"/>
    <x v="0"/>
    <x v="1"/>
    <x v="1"/>
    <x v="1"/>
    <x v="1"/>
    <x v="1"/>
    <n v="0"/>
    <n v="0"/>
    <n v="5"/>
  </r>
  <r>
    <n v="3425"/>
    <x v="189"/>
    <x v="0"/>
    <d v="2024-09-07T00:00:00"/>
    <x v="1"/>
    <x v="0"/>
    <x v="0"/>
    <x v="0"/>
    <x v="0"/>
    <x v="0"/>
    <n v="20"/>
    <n v="20"/>
    <n v="45"/>
  </r>
  <r>
    <n v="3426"/>
    <x v="167"/>
    <x v="2"/>
    <d v="2024-09-08T00:00:00"/>
    <x v="0"/>
    <x v="2"/>
    <x v="2"/>
    <x v="1"/>
    <x v="1"/>
    <x v="0"/>
    <n v="20"/>
    <n v="15"/>
    <n v="15"/>
  </r>
  <r>
    <n v="3427"/>
    <x v="190"/>
    <x v="1"/>
    <d v="2024-09-09T00:00:00"/>
    <x v="1"/>
    <x v="1"/>
    <x v="0"/>
    <x v="1"/>
    <x v="1"/>
    <x v="1"/>
    <n v="0"/>
    <n v="1"/>
    <n v="4"/>
  </r>
  <r>
    <n v="3428"/>
    <x v="191"/>
    <x v="0"/>
    <d v="2024-09-10T00:00:00"/>
    <x v="0"/>
    <x v="0"/>
    <x v="1"/>
    <x v="0"/>
    <x v="0"/>
    <x v="0"/>
    <n v="20"/>
    <n v="3"/>
    <n v="62"/>
  </r>
  <r>
    <n v="3429"/>
    <x v="192"/>
    <x v="2"/>
    <d v="2024-09-11T00:00:00"/>
    <x v="1"/>
    <x v="2"/>
    <x v="0"/>
    <x v="1"/>
    <x v="1"/>
    <x v="0"/>
    <n v="20"/>
    <n v="10"/>
    <n v="20"/>
  </r>
  <r>
    <n v="3430"/>
    <x v="193"/>
    <x v="1"/>
    <d v="2024-09-12T00:00:00"/>
    <x v="0"/>
    <x v="1"/>
    <x v="2"/>
    <x v="1"/>
    <x v="1"/>
    <x v="1"/>
    <n v="0"/>
    <n v="0"/>
    <n v="5"/>
  </r>
  <r>
    <n v="3431"/>
    <x v="194"/>
    <x v="0"/>
    <d v="2024-09-13T00:00:00"/>
    <x v="1"/>
    <x v="0"/>
    <x v="0"/>
    <x v="0"/>
    <x v="0"/>
    <x v="0"/>
    <n v="20"/>
    <n v="15"/>
    <n v="50"/>
  </r>
  <r>
    <n v="3432"/>
    <x v="195"/>
    <x v="2"/>
    <d v="2024-09-14T00:00:00"/>
    <x v="0"/>
    <x v="2"/>
    <x v="1"/>
    <x v="1"/>
    <x v="1"/>
    <x v="0"/>
    <n v="20"/>
    <n v="15"/>
    <n v="15"/>
  </r>
  <r>
    <n v="3433"/>
    <x v="196"/>
    <x v="1"/>
    <d v="2024-09-15T00:00:00"/>
    <x v="1"/>
    <x v="1"/>
    <x v="0"/>
    <x v="1"/>
    <x v="1"/>
    <x v="1"/>
    <n v="0"/>
    <n v="1"/>
    <n v="4"/>
  </r>
  <r>
    <n v="3434"/>
    <x v="197"/>
    <x v="0"/>
    <d v="2024-09-16T00:00:00"/>
    <x v="0"/>
    <x v="0"/>
    <x v="2"/>
    <x v="0"/>
    <x v="0"/>
    <x v="0"/>
    <n v="20"/>
    <n v="7"/>
    <n v="58"/>
  </r>
  <r>
    <n v="3435"/>
    <x v="198"/>
    <x v="2"/>
    <d v="2024-09-17T00:00:00"/>
    <x v="1"/>
    <x v="2"/>
    <x v="0"/>
    <x v="1"/>
    <x v="1"/>
    <x v="0"/>
    <n v="20"/>
    <n v="10"/>
    <n v="20"/>
  </r>
  <r>
    <n v="3436"/>
    <x v="199"/>
    <x v="1"/>
    <d v="2024-09-18T00:00:00"/>
    <x v="0"/>
    <x v="1"/>
    <x v="0"/>
    <x v="1"/>
    <x v="1"/>
    <x v="1"/>
    <n v="0"/>
    <n v="0"/>
    <n v="5"/>
  </r>
  <r>
    <n v="3437"/>
    <x v="200"/>
    <x v="0"/>
    <d v="2024-09-19T00:00:00"/>
    <x v="1"/>
    <x v="0"/>
    <x v="2"/>
    <x v="0"/>
    <x v="0"/>
    <x v="0"/>
    <n v="20"/>
    <n v="7"/>
    <n v="58"/>
  </r>
  <r>
    <n v="3438"/>
    <x v="201"/>
    <x v="2"/>
    <d v="2024-09-20T00:00:00"/>
    <x v="0"/>
    <x v="2"/>
    <x v="1"/>
    <x v="1"/>
    <x v="1"/>
    <x v="0"/>
    <n v="20"/>
    <n v="10"/>
    <n v="20"/>
  </r>
  <r>
    <n v="3439"/>
    <x v="202"/>
    <x v="1"/>
    <d v="2024-09-21T00:00:00"/>
    <x v="1"/>
    <x v="1"/>
    <x v="2"/>
    <x v="1"/>
    <x v="1"/>
    <x v="1"/>
    <n v="0"/>
    <n v="1"/>
    <n v="4"/>
  </r>
  <r>
    <n v="3440"/>
    <x v="203"/>
    <x v="0"/>
    <d v="2024-09-22T00:00:00"/>
    <x v="0"/>
    <x v="0"/>
    <x v="0"/>
    <x v="0"/>
    <x v="0"/>
    <x v="0"/>
    <n v="20"/>
    <n v="15"/>
    <n v="50"/>
  </r>
  <r>
    <n v="3441"/>
    <x v="204"/>
    <x v="2"/>
    <d v="2024-09-23T00:00:00"/>
    <x v="1"/>
    <x v="2"/>
    <x v="0"/>
    <x v="1"/>
    <x v="1"/>
    <x v="0"/>
    <n v="20"/>
    <n v="5"/>
    <n v="25"/>
  </r>
  <r>
    <n v="3442"/>
    <x v="205"/>
    <x v="1"/>
    <d v="2024-09-24T00:00:00"/>
    <x v="0"/>
    <x v="1"/>
    <x v="1"/>
    <x v="1"/>
    <x v="1"/>
    <x v="1"/>
    <n v="0"/>
    <n v="0"/>
    <n v="5"/>
  </r>
  <r>
    <n v="3443"/>
    <x v="206"/>
    <x v="0"/>
    <d v="2024-09-25T00:00:00"/>
    <x v="1"/>
    <x v="0"/>
    <x v="2"/>
    <x v="0"/>
    <x v="0"/>
    <x v="0"/>
    <n v="20"/>
    <n v="20"/>
    <n v="45"/>
  </r>
  <r>
    <n v="3444"/>
    <x v="207"/>
    <x v="2"/>
    <d v="2024-09-26T00:00:00"/>
    <x v="0"/>
    <x v="2"/>
    <x v="2"/>
    <x v="1"/>
    <x v="1"/>
    <x v="0"/>
    <n v="20"/>
    <n v="12"/>
    <n v="18"/>
  </r>
  <r>
    <n v="3445"/>
    <x v="37"/>
    <x v="1"/>
    <d v="2024-09-27T00:00:00"/>
    <x v="1"/>
    <x v="1"/>
    <x v="0"/>
    <x v="1"/>
    <x v="1"/>
    <x v="1"/>
    <n v="0"/>
    <n v="2"/>
    <n v="3"/>
  </r>
  <r>
    <n v="3446"/>
    <x v="208"/>
    <x v="0"/>
    <d v="2024-09-28T00:00:00"/>
    <x v="0"/>
    <x v="0"/>
    <x v="1"/>
    <x v="0"/>
    <x v="0"/>
    <x v="0"/>
    <n v="20"/>
    <n v="5"/>
    <n v="60"/>
  </r>
  <r>
    <n v="3447"/>
    <x v="209"/>
    <x v="2"/>
    <d v="2024-09-29T00:00:00"/>
    <x v="1"/>
    <x v="2"/>
    <x v="0"/>
    <x v="1"/>
    <x v="1"/>
    <x v="0"/>
    <n v="20"/>
    <n v="10"/>
    <n v="20"/>
  </r>
  <r>
    <n v="3448"/>
    <x v="210"/>
    <x v="1"/>
    <d v="2024-09-30T00:00:00"/>
    <x v="0"/>
    <x v="1"/>
    <x v="2"/>
    <x v="1"/>
    <x v="1"/>
    <x v="1"/>
    <n v="0"/>
    <n v="0"/>
    <n v="5"/>
  </r>
  <r>
    <n v="3449"/>
    <x v="211"/>
    <x v="0"/>
    <d v="2024-10-01T00:00:00"/>
    <x v="1"/>
    <x v="0"/>
    <x v="0"/>
    <x v="0"/>
    <x v="0"/>
    <x v="0"/>
    <n v="20"/>
    <n v="3"/>
    <n v="62"/>
  </r>
  <r>
    <n v="3450"/>
    <x v="212"/>
    <x v="2"/>
    <d v="2024-10-02T00:00:00"/>
    <x v="0"/>
    <x v="2"/>
    <x v="1"/>
    <x v="1"/>
    <x v="1"/>
    <x v="0"/>
    <n v="20"/>
    <n v="15"/>
    <n v="15"/>
  </r>
  <r>
    <n v="3451"/>
    <x v="213"/>
    <x v="1"/>
    <d v="2024-10-03T00:00:00"/>
    <x v="1"/>
    <x v="1"/>
    <x v="0"/>
    <x v="1"/>
    <x v="1"/>
    <x v="1"/>
    <n v="0"/>
    <n v="1"/>
    <n v="4"/>
  </r>
  <r>
    <n v="3452"/>
    <x v="191"/>
    <x v="0"/>
    <d v="2024-10-04T00:00:00"/>
    <x v="0"/>
    <x v="0"/>
    <x v="2"/>
    <x v="0"/>
    <x v="0"/>
    <x v="0"/>
    <n v="20"/>
    <n v="7"/>
    <n v="58"/>
  </r>
  <r>
    <n v="3453"/>
    <x v="45"/>
    <x v="2"/>
    <d v="2024-10-05T00:00:00"/>
    <x v="1"/>
    <x v="2"/>
    <x v="0"/>
    <x v="1"/>
    <x v="1"/>
    <x v="0"/>
    <n v="20"/>
    <n v="10"/>
    <n v="20"/>
  </r>
  <r>
    <n v="3454"/>
    <x v="214"/>
    <x v="1"/>
    <d v="2024-10-06T00:00:00"/>
    <x v="0"/>
    <x v="1"/>
    <x v="1"/>
    <x v="1"/>
    <x v="1"/>
    <x v="1"/>
    <n v="0"/>
    <n v="0"/>
    <n v="5"/>
  </r>
  <r>
    <n v="3455"/>
    <x v="215"/>
    <x v="0"/>
    <d v="2024-10-07T00:00:00"/>
    <x v="1"/>
    <x v="0"/>
    <x v="0"/>
    <x v="0"/>
    <x v="0"/>
    <x v="0"/>
    <n v="20"/>
    <n v="20"/>
    <n v="45"/>
  </r>
  <r>
    <n v="3456"/>
    <x v="216"/>
    <x v="2"/>
    <d v="2024-10-08T00:00:00"/>
    <x v="0"/>
    <x v="2"/>
    <x v="2"/>
    <x v="1"/>
    <x v="1"/>
    <x v="0"/>
    <n v="20"/>
    <n v="15"/>
    <n v="15"/>
  </r>
  <r>
    <n v="3457"/>
    <x v="217"/>
    <x v="1"/>
    <d v="2024-10-09T00:00:00"/>
    <x v="1"/>
    <x v="1"/>
    <x v="0"/>
    <x v="1"/>
    <x v="1"/>
    <x v="1"/>
    <n v="0"/>
    <n v="1"/>
    <n v="4"/>
  </r>
  <r>
    <n v="3458"/>
    <x v="218"/>
    <x v="0"/>
    <d v="2024-10-10T00:00:00"/>
    <x v="0"/>
    <x v="0"/>
    <x v="1"/>
    <x v="0"/>
    <x v="0"/>
    <x v="0"/>
    <n v="20"/>
    <n v="3"/>
    <n v="62"/>
  </r>
  <r>
    <n v="3459"/>
    <x v="219"/>
    <x v="2"/>
    <d v="2024-10-11T00:00:00"/>
    <x v="1"/>
    <x v="2"/>
    <x v="0"/>
    <x v="1"/>
    <x v="1"/>
    <x v="0"/>
    <n v="20"/>
    <n v="10"/>
    <n v="20"/>
  </r>
  <r>
    <n v="3460"/>
    <x v="127"/>
    <x v="1"/>
    <d v="2024-10-12T00:00:00"/>
    <x v="0"/>
    <x v="1"/>
    <x v="2"/>
    <x v="1"/>
    <x v="1"/>
    <x v="1"/>
    <n v="0"/>
    <n v="0"/>
    <n v="5"/>
  </r>
  <r>
    <n v="3461"/>
    <x v="220"/>
    <x v="0"/>
    <d v="2024-10-13T00:00:00"/>
    <x v="1"/>
    <x v="0"/>
    <x v="0"/>
    <x v="0"/>
    <x v="0"/>
    <x v="0"/>
    <n v="20"/>
    <n v="15"/>
    <n v="50"/>
  </r>
  <r>
    <n v="3462"/>
    <x v="221"/>
    <x v="2"/>
    <d v="2024-10-14T00:00:00"/>
    <x v="0"/>
    <x v="2"/>
    <x v="1"/>
    <x v="1"/>
    <x v="1"/>
    <x v="0"/>
    <n v="20"/>
    <n v="15"/>
    <n v="15"/>
  </r>
  <r>
    <n v="3463"/>
    <x v="222"/>
    <x v="1"/>
    <d v="2024-10-15T00:00:00"/>
    <x v="1"/>
    <x v="1"/>
    <x v="0"/>
    <x v="1"/>
    <x v="1"/>
    <x v="1"/>
    <n v="0"/>
    <n v="1"/>
    <n v="4"/>
  </r>
  <r>
    <n v="3464"/>
    <x v="223"/>
    <x v="0"/>
    <d v="2024-10-16T00:00:00"/>
    <x v="0"/>
    <x v="0"/>
    <x v="2"/>
    <x v="0"/>
    <x v="0"/>
    <x v="0"/>
    <n v="20"/>
    <n v="7"/>
    <n v="58"/>
  </r>
  <r>
    <n v="3465"/>
    <x v="224"/>
    <x v="2"/>
    <d v="2024-10-17T00:00:00"/>
    <x v="1"/>
    <x v="2"/>
    <x v="0"/>
    <x v="1"/>
    <x v="1"/>
    <x v="0"/>
    <n v="20"/>
    <n v="10"/>
    <n v="20"/>
  </r>
  <r>
    <n v="3466"/>
    <x v="225"/>
    <x v="1"/>
    <d v="2024-10-18T00:00:00"/>
    <x v="0"/>
    <x v="1"/>
    <x v="1"/>
    <x v="1"/>
    <x v="1"/>
    <x v="1"/>
    <n v="0"/>
    <n v="0"/>
    <n v="5"/>
  </r>
  <r>
    <n v="3467"/>
    <x v="226"/>
    <x v="0"/>
    <d v="2024-10-19T00:00:00"/>
    <x v="1"/>
    <x v="0"/>
    <x v="0"/>
    <x v="0"/>
    <x v="0"/>
    <x v="0"/>
    <n v="20"/>
    <n v="15"/>
    <n v="50"/>
  </r>
  <r>
    <n v="3468"/>
    <x v="227"/>
    <x v="2"/>
    <d v="2024-10-20T00:00:00"/>
    <x v="0"/>
    <x v="2"/>
    <x v="2"/>
    <x v="1"/>
    <x v="1"/>
    <x v="0"/>
    <n v="20"/>
    <n v="12"/>
    <n v="18"/>
  </r>
  <r>
    <n v="3469"/>
    <x v="228"/>
    <x v="1"/>
    <d v="2024-10-21T00:00:00"/>
    <x v="1"/>
    <x v="1"/>
    <x v="0"/>
    <x v="1"/>
    <x v="1"/>
    <x v="1"/>
    <n v="0"/>
    <n v="2"/>
    <n v="3"/>
  </r>
  <r>
    <n v="3470"/>
    <x v="229"/>
    <x v="0"/>
    <d v="2024-10-22T00:00:00"/>
    <x v="0"/>
    <x v="0"/>
    <x v="1"/>
    <x v="0"/>
    <x v="0"/>
    <x v="0"/>
    <n v="20"/>
    <n v="5"/>
    <n v="60"/>
  </r>
  <r>
    <n v="3471"/>
    <x v="230"/>
    <x v="2"/>
    <d v="2024-10-23T00:00:00"/>
    <x v="1"/>
    <x v="2"/>
    <x v="0"/>
    <x v="1"/>
    <x v="1"/>
    <x v="0"/>
    <n v="20"/>
    <n v="10"/>
    <n v="20"/>
  </r>
  <r>
    <n v="3472"/>
    <x v="231"/>
    <x v="1"/>
    <d v="2024-10-24T00:00:00"/>
    <x v="0"/>
    <x v="1"/>
    <x v="2"/>
    <x v="1"/>
    <x v="1"/>
    <x v="1"/>
    <n v="0"/>
    <n v="0"/>
    <n v="5"/>
  </r>
  <r>
    <n v="3473"/>
    <x v="140"/>
    <x v="0"/>
    <d v="2024-10-25T00:00:00"/>
    <x v="1"/>
    <x v="0"/>
    <x v="0"/>
    <x v="0"/>
    <x v="0"/>
    <x v="0"/>
    <n v="20"/>
    <n v="3"/>
    <n v="62"/>
  </r>
  <r>
    <n v="3474"/>
    <x v="232"/>
    <x v="2"/>
    <d v="2024-10-26T00:00:00"/>
    <x v="0"/>
    <x v="2"/>
    <x v="1"/>
    <x v="1"/>
    <x v="1"/>
    <x v="0"/>
    <n v="20"/>
    <n v="15"/>
    <n v="15"/>
  </r>
  <r>
    <n v="3475"/>
    <x v="233"/>
    <x v="1"/>
    <d v="2024-10-27T00:00:00"/>
    <x v="1"/>
    <x v="1"/>
    <x v="0"/>
    <x v="1"/>
    <x v="1"/>
    <x v="1"/>
    <n v="0"/>
    <n v="1"/>
    <n v="4"/>
  </r>
  <r>
    <n v="3476"/>
    <x v="234"/>
    <x v="0"/>
    <d v="2024-10-28T00:00:00"/>
    <x v="0"/>
    <x v="0"/>
    <x v="2"/>
    <x v="0"/>
    <x v="0"/>
    <x v="0"/>
    <n v="20"/>
    <n v="7"/>
    <n v="58"/>
  </r>
  <r>
    <n v="3477"/>
    <x v="235"/>
    <x v="2"/>
    <d v="2024-10-29T00:00:00"/>
    <x v="1"/>
    <x v="2"/>
    <x v="0"/>
    <x v="1"/>
    <x v="1"/>
    <x v="0"/>
    <n v="20"/>
    <n v="10"/>
    <n v="20"/>
  </r>
  <r>
    <n v="3478"/>
    <x v="236"/>
    <x v="1"/>
    <d v="2024-10-30T00:00:00"/>
    <x v="0"/>
    <x v="1"/>
    <x v="1"/>
    <x v="1"/>
    <x v="1"/>
    <x v="1"/>
    <n v="0"/>
    <n v="0"/>
    <n v="5"/>
  </r>
  <r>
    <n v="3479"/>
    <x v="237"/>
    <x v="0"/>
    <d v="2024-10-31T00:00:00"/>
    <x v="1"/>
    <x v="0"/>
    <x v="0"/>
    <x v="0"/>
    <x v="0"/>
    <x v="0"/>
    <n v="20"/>
    <n v="20"/>
    <n v="45"/>
  </r>
  <r>
    <n v="3480"/>
    <x v="238"/>
    <x v="2"/>
    <d v="2024-11-01T00:00:00"/>
    <x v="0"/>
    <x v="2"/>
    <x v="2"/>
    <x v="1"/>
    <x v="1"/>
    <x v="0"/>
    <n v="20"/>
    <n v="15"/>
    <n v="15"/>
  </r>
  <r>
    <n v="3481"/>
    <x v="239"/>
    <x v="1"/>
    <d v="2024-11-02T00:00:00"/>
    <x v="1"/>
    <x v="1"/>
    <x v="0"/>
    <x v="1"/>
    <x v="1"/>
    <x v="1"/>
    <n v="0"/>
    <n v="1"/>
    <n v="4"/>
  </r>
  <r>
    <n v="3482"/>
    <x v="240"/>
    <x v="0"/>
    <d v="2024-11-03T00:00:00"/>
    <x v="0"/>
    <x v="0"/>
    <x v="1"/>
    <x v="0"/>
    <x v="0"/>
    <x v="0"/>
    <n v="20"/>
    <n v="3"/>
    <n v="62"/>
  </r>
  <r>
    <n v="3483"/>
    <x v="241"/>
    <x v="2"/>
    <d v="2024-11-04T00:00:00"/>
    <x v="1"/>
    <x v="2"/>
    <x v="0"/>
    <x v="1"/>
    <x v="1"/>
    <x v="0"/>
    <n v="20"/>
    <n v="10"/>
    <n v="20"/>
  </r>
  <r>
    <n v="3484"/>
    <x v="242"/>
    <x v="1"/>
    <d v="2024-11-05T00:00:00"/>
    <x v="0"/>
    <x v="1"/>
    <x v="2"/>
    <x v="1"/>
    <x v="1"/>
    <x v="1"/>
    <n v="0"/>
    <n v="0"/>
    <n v="5"/>
  </r>
  <r>
    <n v="3485"/>
    <x v="243"/>
    <x v="0"/>
    <d v="2024-11-06T00:00:00"/>
    <x v="1"/>
    <x v="0"/>
    <x v="0"/>
    <x v="0"/>
    <x v="0"/>
    <x v="0"/>
    <n v="20"/>
    <n v="15"/>
    <n v="50"/>
  </r>
  <r>
    <n v="3486"/>
    <x v="244"/>
    <x v="1"/>
    <d v="2024-11-07T00:00:00"/>
    <x v="0"/>
    <x v="1"/>
    <x v="0"/>
    <x v="1"/>
    <x v="1"/>
    <x v="1"/>
    <n v="0"/>
    <n v="0"/>
    <n v="5"/>
  </r>
  <r>
    <n v="3487"/>
    <x v="245"/>
    <x v="0"/>
    <d v="2024-11-08T00:00:00"/>
    <x v="1"/>
    <x v="0"/>
    <x v="2"/>
    <x v="0"/>
    <x v="0"/>
    <x v="0"/>
    <n v="20"/>
    <n v="7"/>
    <n v="58"/>
  </r>
  <r>
    <n v="3488"/>
    <x v="246"/>
    <x v="2"/>
    <d v="2024-11-09T00:00:00"/>
    <x v="0"/>
    <x v="2"/>
    <x v="1"/>
    <x v="1"/>
    <x v="1"/>
    <x v="0"/>
    <n v="20"/>
    <n v="10"/>
    <n v="20"/>
  </r>
  <r>
    <n v="3489"/>
    <x v="247"/>
    <x v="1"/>
    <d v="2024-11-10T00:00:00"/>
    <x v="1"/>
    <x v="1"/>
    <x v="2"/>
    <x v="1"/>
    <x v="1"/>
    <x v="1"/>
    <n v="0"/>
    <n v="1"/>
    <n v="4"/>
  </r>
  <r>
    <n v="3490"/>
    <x v="248"/>
    <x v="0"/>
    <d v="2024-11-11T00:00:00"/>
    <x v="0"/>
    <x v="0"/>
    <x v="0"/>
    <x v="0"/>
    <x v="0"/>
    <x v="0"/>
    <n v="20"/>
    <n v="15"/>
    <n v="50"/>
  </r>
  <r>
    <n v="3491"/>
    <x v="249"/>
    <x v="2"/>
    <d v="2024-11-12T00:00:00"/>
    <x v="1"/>
    <x v="2"/>
    <x v="0"/>
    <x v="1"/>
    <x v="1"/>
    <x v="0"/>
    <n v="20"/>
    <n v="5"/>
    <n v="25"/>
  </r>
  <r>
    <n v="3492"/>
    <x v="250"/>
    <x v="1"/>
    <d v="2024-11-13T00:00:00"/>
    <x v="0"/>
    <x v="1"/>
    <x v="1"/>
    <x v="1"/>
    <x v="1"/>
    <x v="1"/>
    <n v="0"/>
    <n v="0"/>
    <n v="5"/>
  </r>
  <r>
    <n v="3493"/>
    <x v="251"/>
    <x v="0"/>
    <d v="2024-11-14T00:00:00"/>
    <x v="1"/>
    <x v="0"/>
    <x v="2"/>
    <x v="0"/>
    <x v="0"/>
    <x v="0"/>
    <n v="20"/>
    <n v="20"/>
    <n v="45"/>
  </r>
  <r>
    <n v="3494"/>
    <x v="252"/>
    <x v="2"/>
    <d v="2024-11-15T00:00:00"/>
    <x v="0"/>
    <x v="2"/>
    <x v="2"/>
    <x v="1"/>
    <x v="1"/>
    <x v="0"/>
    <n v="20"/>
    <n v="12"/>
    <n v="18"/>
  </r>
  <r>
    <n v="3495"/>
    <x v="253"/>
    <x v="1"/>
    <d v="2024-11-16T00:00:00"/>
    <x v="1"/>
    <x v="1"/>
    <x v="0"/>
    <x v="1"/>
    <x v="1"/>
    <x v="1"/>
    <n v="0"/>
    <n v="2"/>
    <n v="3"/>
  </r>
  <r>
    <n v="3496"/>
    <x v="254"/>
    <x v="0"/>
    <d v="2024-11-17T00:00:00"/>
    <x v="0"/>
    <x v="0"/>
    <x v="1"/>
    <x v="0"/>
    <x v="0"/>
    <x v="0"/>
    <n v="20"/>
    <n v="5"/>
    <n v="60"/>
  </r>
  <r>
    <n v="3497"/>
    <x v="255"/>
    <x v="2"/>
    <d v="2024-11-18T00:00:00"/>
    <x v="1"/>
    <x v="2"/>
    <x v="0"/>
    <x v="1"/>
    <x v="1"/>
    <x v="0"/>
    <n v="20"/>
    <n v="10"/>
    <n v="20"/>
  </r>
  <r>
    <n v="3498"/>
    <x v="256"/>
    <x v="1"/>
    <d v="2024-11-19T00:00:00"/>
    <x v="0"/>
    <x v="1"/>
    <x v="2"/>
    <x v="1"/>
    <x v="1"/>
    <x v="1"/>
    <n v="0"/>
    <n v="0"/>
    <n v="5"/>
  </r>
  <r>
    <n v="3499"/>
    <x v="257"/>
    <x v="0"/>
    <d v="2024-11-20T00:00:00"/>
    <x v="1"/>
    <x v="0"/>
    <x v="0"/>
    <x v="0"/>
    <x v="0"/>
    <x v="0"/>
    <n v="20"/>
    <n v="3"/>
    <n v="62"/>
  </r>
  <r>
    <n v="3500"/>
    <x v="258"/>
    <x v="2"/>
    <d v="2024-11-21T00:00:00"/>
    <x v="0"/>
    <x v="2"/>
    <x v="1"/>
    <x v="1"/>
    <x v="1"/>
    <x v="0"/>
    <n v="20"/>
    <n v="15"/>
    <n v="15"/>
  </r>
  <r>
    <n v="3501"/>
    <x v="259"/>
    <x v="1"/>
    <d v="2024-11-22T00:00:00"/>
    <x v="1"/>
    <x v="1"/>
    <x v="0"/>
    <x v="1"/>
    <x v="1"/>
    <x v="1"/>
    <n v="0"/>
    <n v="1"/>
    <n v="4"/>
  </r>
  <r>
    <n v="3502"/>
    <x v="260"/>
    <x v="0"/>
    <d v="2024-11-23T00:00:00"/>
    <x v="0"/>
    <x v="0"/>
    <x v="2"/>
    <x v="0"/>
    <x v="0"/>
    <x v="0"/>
    <n v="20"/>
    <n v="7"/>
    <n v="58"/>
  </r>
  <r>
    <n v="3503"/>
    <x v="119"/>
    <x v="2"/>
    <d v="2024-11-24T00:00:00"/>
    <x v="1"/>
    <x v="2"/>
    <x v="0"/>
    <x v="1"/>
    <x v="1"/>
    <x v="0"/>
    <n v="20"/>
    <n v="10"/>
    <n v="20"/>
  </r>
  <r>
    <n v="3504"/>
    <x v="261"/>
    <x v="1"/>
    <d v="2024-11-25T00:00:00"/>
    <x v="0"/>
    <x v="1"/>
    <x v="1"/>
    <x v="1"/>
    <x v="1"/>
    <x v="1"/>
    <n v="0"/>
    <n v="0"/>
    <n v="5"/>
  </r>
  <r>
    <n v="3505"/>
    <x v="262"/>
    <x v="0"/>
    <d v="2024-11-26T00:00:00"/>
    <x v="1"/>
    <x v="0"/>
    <x v="0"/>
    <x v="0"/>
    <x v="0"/>
    <x v="0"/>
    <n v="20"/>
    <n v="20"/>
    <n v="45"/>
  </r>
  <r>
    <n v="3506"/>
    <x v="263"/>
    <x v="2"/>
    <d v="2024-11-27T00:00:00"/>
    <x v="0"/>
    <x v="2"/>
    <x v="2"/>
    <x v="1"/>
    <x v="1"/>
    <x v="0"/>
    <n v="20"/>
    <n v="15"/>
    <n v="15"/>
  </r>
  <r>
    <n v="3507"/>
    <x v="264"/>
    <x v="1"/>
    <d v="2024-11-28T00:00:00"/>
    <x v="1"/>
    <x v="1"/>
    <x v="0"/>
    <x v="1"/>
    <x v="1"/>
    <x v="1"/>
    <n v="0"/>
    <n v="1"/>
    <n v="4"/>
  </r>
  <r>
    <n v="3508"/>
    <x v="265"/>
    <x v="0"/>
    <d v="2024-11-29T00:00:00"/>
    <x v="0"/>
    <x v="0"/>
    <x v="1"/>
    <x v="0"/>
    <x v="0"/>
    <x v="0"/>
    <n v="20"/>
    <n v="3"/>
    <n v="62"/>
  </r>
  <r>
    <n v="3509"/>
    <x v="266"/>
    <x v="2"/>
    <d v="2024-11-30T00:00:00"/>
    <x v="1"/>
    <x v="2"/>
    <x v="0"/>
    <x v="1"/>
    <x v="1"/>
    <x v="0"/>
    <n v="20"/>
    <n v="10"/>
    <n v="20"/>
  </r>
  <r>
    <n v="3510"/>
    <x v="267"/>
    <x v="1"/>
    <d v="2024-12-01T00:00:00"/>
    <x v="0"/>
    <x v="1"/>
    <x v="2"/>
    <x v="1"/>
    <x v="1"/>
    <x v="1"/>
    <n v="0"/>
    <n v="0"/>
    <n v="5"/>
  </r>
  <r>
    <n v="3511"/>
    <x v="268"/>
    <x v="0"/>
    <d v="2024-12-02T00:00:00"/>
    <x v="1"/>
    <x v="0"/>
    <x v="0"/>
    <x v="0"/>
    <x v="0"/>
    <x v="0"/>
    <n v="20"/>
    <n v="15"/>
    <n v="50"/>
  </r>
  <r>
    <n v="3512"/>
    <x v="269"/>
    <x v="2"/>
    <d v="2024-12-03T00:00:00"/>
    <x v="0"/>
    <x v="2"/>
    <x v="1"/>
    <x v="1"/>
    <x v="1"/>
    <x v="0"/>
    <n v="20"/>
    <n v="15"/>
    <n v="15"/>
  </r>
  <r>
    <n v="3513"/>
    <x v="270"/>
    <x v="1"/>
    <d v="2024-12-04T00:00:00"/>
    <x v="1"/>
    <x v="1"/>
    <x v="0"/>
    <x v="1"/>
    <x v="1"/>
    <x v="1"/>
    <n v="0"/>
    <n v="1"/>
    <n v="4"/>
  </r>
  <r>
    <n v="3514"/>
    <x v="271"/>
    <x v="0"/>
    <d v="2024-12-05T00:00:00"/>
    <x v="0"/>
    <x v="0"/>
    <x v="2"/>
    <x v="0"/>
    <x v="0"/>
    <x v="0"/>
    <n v="20"/>
    <n v="7"/>
    <n v="58"/>
  </r>
  <r>
    <n v="3515"/>
    <x v="130"/>
    <x v="2"/>
    <d v="2024-12-06T00:00:00"/>
    <x v="1"/>
    <x v="2"/>
    <x v="0"/>
    <x v="1"/>
    <x v="1"/>
    <x v="0"/>
    <n v="20"/>
    <n v="10"/>
    <n v="20"/>
  </r>
  <r>
    <n v="3516"/>
    <x v="131"/>
    <x v="1"/>
    <d v="2024-12-07T00:00:00"/>
    <x v="0"/>
    <x v="1"/>
    <x v="1"/>
    <x v="1"/>
    <x v="1"/>
    <x v="1"/>
    <n v="0"/>
    <n v="0"/>
    <n v="5"/>
  </r>
  <r>
    <n v="3517"/>
    <x v="181"/>
    <x v="0"/>
    <d v="2024-12-08T00:00:00"/>
    <x v="1"/>
    <x v="0"/>
    <x v="0"/>
    <x v="0"/>
    <x v="0"/>
    <x v="0"/>
    <n v="20"/>
    <n v="20"/>
    <n v="45"/>
  </r>
  <r>
    <n v="3518"/>
    <x v="272"/>
    <x v="2"/>
    <d v="2024-12-09T00:00:00"/>
    <x v="0"/>
    <x v="2"/>
    <x v="2"/>
    <x v="1"/>
    <x v="1"/>
    <x v="0"/>
    <n v="20"/>
    <n v="12"/>
    <n v="18"/>
  </r>
  <r>
    <n v="3519"/>
    <x v="273"/>
    <x v="1"/>
    <d v="2024-12-10T00:00:00"/>
    <x v="1"/>
    <x v="1"/>
    <x v="0"/>
    <x v="1"/>
    <x v="1"/>
    <x v="1"/>
    <n v="0"/>
    <n v="2"/>
    <n v="3"/>
  </r>
  <r>
    <n v="3520"/>
    <x v="274"/>
    <x v="0"/>
    <d v="2024-12-11T00:00:00"/>
    <x v="0"/>
    <x v="0"/>
    <x v="1"/>
    <x v="0"/>
    <x v="0"/>
    <x v="0"/>
    <n v="20"/>
    <n v="5"/>
    <n v="60"/>
  </r>
  <r>
    <n v="3521"/>
    <x v="275"/>
    <x v="2"/>
    <d v="2024-12-12T00:00:00"/>
    <x v="1"/>
    <x v="2"/>
    <x v="0"/>
    <x v="1"/>
    <x v="1"/>
    <x v="0"/>
    <n v="20"/>
    <n v="10"/>
    <n v="20"/>
  </r>
  <r>
    <n v="3522"/>
    <x v="276"/>
    <x v="1"/>
    <d v="2024-12-13T00:00:00"/>
    <x v="0"/>
    <x v="1"/>
    <x v="2"/>
    <x v="1"/>
    <x v="1"/>
    <x v="1"/>
    <n v="0"/>
    <n v="0"/>
    <n v="5"/>
  </r>
  <r>
    <n v="3523"/>
    <x v="277"/>
    <x v="0"/>
    <d v="2024-12-14T00:00:00"/>
    <x v="1"/>
    <x v="0"/>
    <x v="0"/>
    <x v="0"/>
    <x v="0"/>
    <x v="0"/>
    <n v="20"/>
    <n v="3"/>
    <n v="62"/>
  </r>
  <r>
    <n v="3524"/>
    <x v="278"/>
    <x v="2"/>
    <d v="2024-12-15T00:00:00"/>
    <x v="0"/>
    <x v="2"/>
    <x v="1"/>
    <x v="1"/>
    <x v="1"/>
    <x v="0"/>
    <n v="20"/>
    <n v="15"/>
    <n v="15"/>
  </r>
  <r>
    <n v="3525"/>
    <x v="279"/>
    <x v="1"/>
    <d v="2024-12-16T00:00:00"/>
    <x v="1"/>
    <x v="1"/>
    <x v="0"/>
    <x v="1"/>
    <x v="1"/>
    <x v="1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A856F6-BECF-4674-A22D-9A3020D040B6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D15:E18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x="2"/>
        <item x="0"/>
        <item t="default"/>
      </items>
    </pivotField>
    <pivotField numFmtId="14" showAll="0"/>
    <pivotField axis="axisRow"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>
      <items count="3">
        <item x="1"/>
        <item x="0"/>
        <item t="default"/>
      </items>
    </pivotField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formats count="3">
    <format dxfId="42">
      <pivotArea field="4" type="button" dataOnly="0" labelOnly="1" outline="0" axis="axisRow" fieldPosition="0"/>
    </format>
    <format dxfId="43">
      <pivotArea dataOnly="0" labelOnly="1" outline="0" axis="axisValues" fieldPosition="0"/>
    </format>
    <format dxfId="44">
      <pivotArea dataOnly="0" grandRow="1" axis="axisRow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Estilo de xbox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6CF3D4-3426-4A62-A0CE-6E877C64084F}" name="Tabela dinâ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J8:K1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formats count="4">
    <format dxfId="34">
      <pivotArea field="4" type="button" dataOnly="0" labelOnly="1" outline="0"/>
    </format>
    <format dxfId="35">
      <pivotArea dataOnly="0" labelOnly="1" outline="0" axis="axisValues" fieldPosition="0"/>
    </format>
    <format dxfId="36">
      <pivotArea dataOnly="0" grandRow="1" axis="axisRow" fieldPosition="0"/>
    </format>
    <format dxfId="37">
      <pivotArea outline="0" collapsedLevelsAreSubtotals="1" fieldPosition="0"/>
    </format>
  </formats>
  <pivotTableStyleInfo name="Estilo de xbox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06324B-E9D8-4E09-AF09-213F6FB3B89B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G15:H19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 numFmtId="164"/>
  </dataFields>
  <formats count="4">
    <format dxfId="38">
      <pivotArea field="4" type="button" dataOnly="0" labelOnly="1" outline="0"/>
    </format>
    <format dxfId="39">
      <pivotArea dataOnly="0" labelOnly="1" outline="0" axis="axisValues" fieldPosition="0"/>
    </format>
    <format dxfId="40">
      <pivotArea dataOnly="0" grandRow="1" axis="axisRow" fieldPosition="0"/>
    </format>
    <format dxfId="41">
      <pivotArea outline="0" collapsedLevelsAreSubtotals="1" fieldPosition="0"/>
    </format>
  </formats>
  <pivotTableStyleInfo name="Estilo de xbox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" xr10:uid="{0DC5C77F-A6F9-468C-9B22-DA82C85841A1}" sourceName="Plan">
  <pivotTables>
    <pivotTable tabId="3" name="tbl_annual_total"/>
    <pivotTable tabId="3" name="tbl_easeasonpass_total"/>
    <pivotTable tabId="3" name="Tabela dinâmica5"/>
  </pivotTables>
  <data>
    <tabular pivotCacheId="1584364500">
      <items count="3">
        <i x="1" s="1"/>
        <i x="2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A_Play_Season_Pass" xr10:uid="{5EDE5C7E-06E8-4B8B-85E7-6C48D6E0F399}" sourceName="EA Play Season Pass">
  <pivotTables>
    <pivotTable tabId="3" name="tbl_annual_total"/>
  </pivotTables>
  <data>
    <tabular pivotCacheId="1584364500">
      <items count="2">
        <i x="1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inecraft_Season_Pass" xr10:uid="{63D93DBC-968A-483C-95DB-614091C516B0}" sourceName="Minecraft Season Pass">
  <pivotTables>
    <pivotTable tabId="3" name="tbl_annual_total"/>
  </pivotTables>
  <data>
    <tabular pivotCacheId="1584364500">
      <items count="2">
        <i x="1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312066C8-9B1B-4AAD-B1B8-D1D70109916C}" sourceName="Subscription Type">
  <pivotTables>
    <pivotTable tabId="3" name="tbl_annual_total"/>
    <pivotTable tabId="3" name="tbl_easeasonpass_total"/>
    <pivotTable tabId="3" name="Tabela dinâmica5"/>
  </pivotTables>
  <data>
    <tabular pivotCacheId="158436450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lan" xr10:uid="{CC775CB4-5110-45E9-A52B-F7DFC5B9E25E}" cache="SegmentaçãodeDados_Plan" caption="Plan" style="Estilo de Segmentação de Dados 1" rowHeight="257175"/>
  <slicer name="EA Play Season Pass" xr10:uid="{F5D19BD0-CA77-40C7-A1AE-C42C861AEEA2}" cache="SegmentaçãodeDados_EA_Play_Season_Pass" caption="EA Play Season Pass" style="Estilo de Segmentação de Dados 1" rowHeight="257175"/>
  <slicer name="Minecraft Season Pass" xr10:uid="{D9700089-4ED1-47F6-B87D-18C6446B67F8}" cache="SegmentaçãodeDados_Minecraft_Season_Pass" caption="Minecraft Season Pass" style="Estilo de Segmentação de Dados 1" rowHeight="257175"/>
  <slicer name="Subscription Type" xr10:uid="{5EB85C7A-E517-42AF-B2BE-33C185FBF7F8}" cache="SegmentaçãodeDados_Subscription_Type" caption="Subscription Type" style="Estilo de Segmentação de Dados 1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lan 1" xr10:uid="{20E9FA6D-4602-4FA3-BA58-3530405FCB4A}" cache="SegmentaçãodeDados_Plan" caption="Plan" style="Estilo de Segmentação de Dados 1" rowHeight="257175"/>
  <slicer name="EA Play Season Pass 1" xr10:uid="{77168F95-49D8-4101-BB7B-F1F206757727}" cache="SegmentaçãodeDados_EA_Play_Season_Pass" caption="EA Play Season Pass" style="Estilo de Segmentação de Dados 1" rowHeight="257175"/>
  <slicer name="Minecraft Season Pass 1" xr10:uid="{FD627186-1DF2-46B2-8030-2C98D46D7452}" cache="SegmentaçãodeDados_Minecraft_Season_Pass" caption="Minecraft Season Pass" style="Estilo de Segmentação de Dados 1" rowHeight="257175"/>
  <slicer name="Subscription Type 1" xr10:uid="{860F9AA3-365E-4F08-A1F8-E6C5AF4956E0}" cache="SegmentaçãodeDados_Subscription_Type" caption="Subscription Type" style="Estilo de Segmentação de Dados 1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58">
  <autoFilter ref="A1:M296" xr:uid="{34E0E886-4200-4B36-97B3-63DB74FF40A0}"/>
  <tableColumns count="13">
    <tableColumn id="1" xr3:uid="{C4A90516-688A-46BF-9167-EA16C2A8A652}" name="Subscriber ID" dataDxfId="57"/>
    <tableColumn id="2" xr3:uid="{53DD39D0-2220-4121-9E9D-4EAA7E151C0F}" name="Name" dataDxfId="56"/>
    <tableColumn id="3" xr3:uid="{4F5FF271-4C57-4BE0-8F2C-F82C8551625C}" name="Plan" dataDxfId="55"/>
    <tableColumn id="4" xr3:uid="{8C17EB93-79B9-4E55-B8F7-BEB82F8253E9}" name="Start Date" dataDxfId="54"/>
    <tableColumn id="5" xr3:uid="{48CEDF9B-1689-482A-A828-5CCE7713264A}" name="Auto Renewal" dataDxfId="53"/>
    <tableColumn id="6" xr3:uid="{78B82374-9AA7-4E38-AE4F-78CDE6C83720}" name="Subscription Price" dataDxfId="52" dataCellStyle="Moeda"/>
    <tableColumn id="7" xr3:uid="{F2433F68-AF33-49D0-B1FB-19A396074EDE}" name="Subscription Type" dataDxfId="51"/>
    <tableColumn id="8" xr3:uid="{FD4D9C95-F6E5-4933-9068-A71FF7DF9343}" name="EA Play Season Pass" dataDxfId="50"/>
    <tableColumn id="13" xr3:uid="{978DD0D2-834E-4CE4-A39B-30976086932F}" name="EA Play Season Pass_x000a_Price" dataDxfId="49" dataCellStyle="Moeda"/>
    <tableColumn id="9" xr3:uid="{6E29F111-C395-4580-9DAD-3407D9E8B1A4}" name="Minecraft Season Pass" dataDxfId="48"/>
    <tableColumn id="10" xr3:uid="{EF544EAA-7F25-4FD5-A10E-8E62804DB9E3}" name="Minecraft Season Pass Price" dataDxfId="47" dataCellStyle="Moeda"/>
    <tableColumn id="11" xr3:uid="{7F6EB64A-1F07-4E48-9F0F-AC7D9DCD26F8}" name="Coupon Value" dataDxfId="46" dataCellStyle="Moeda"/>
    <tableColumn id="12" xr3:uid="{2B04ABC8-DE6F-426E-ADC0-D8AFC68CA58E}" name="Total Value" dataDxfId="45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E5" sqref="E5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P15" sqref="P15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D6:K19"/>
  <sheetViews>
    <sheetView showGridLines="0" topLeftCell="C1" workbookViewId="0">
      <selection activeCell="S1" sqref="S1"/>
    </sheetView>
  </sheetViews>
  <sheetFormatPr defaultRowHeight="15" x14ac:dyDescent="0.25"/>
  <cols>
    <col min="2" max="2" width="18.42578125" bestFit="1" customWidth="1"/>
    <col min="3" max="3" width="19.28515625" bestFit="1" customWidth="1"/>
    <col min="4" max="4" width="18" bestFit="1" customWidth="1"/>
    <col min="5" max="6" width="19.140625" bestFit="1" customWidth="1"/>
    <col min="7" max="7" width="18" bestFit="1" customWidth="1"/>
    <col min="8" max="8" width="27.42578125" bestFit="1" customWidth="1"/>
    <col min="9" max="9" width="21.140625" bestFit="1" customWidth="1"/>
    <col min="10" max="10" width="18" bestFit="1" customWidth="1"/>
    <col min="11" max="11" width="34.57031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6" spans="4:11" x14ac:dyDescent="0.25">
      <c r="J6" s="12" t="s">
        <v>16</v>
      </c>
      <c r="K6" t="s">
        <v>24</v>
      </c>
    </row>
    <row r="8" spans="4:11" x14ac:dyDescent="0.25">
      <c r="J8" s="12" t="s">
        <v>313</v>
      </c>
      <c r="K8" s="5" t="s">
        <v>318</v>
      </c>
    </row>
    <row r="9" spans="4:11" x14ac:dyDescent="0.25">
      <c r="J9" s="13" t="s">
        <v>22</v>
      </c>
      <c r="K9" s="17">
        <v>0</v>
      </c>
    </row>
    <row r="10" spans="4:11" x14ac:dyDescent="0.25">
      <c r="J10" s="13" t="s">
        <v>26</v>
      </c>
      <c r="K10" s="17">
        <v>540</v>
      </c>
    </row>
    <row r="11" spans="4:11" x14ac:dyDescent="0.25">
      <c r="J11" s="13" t="s">
        <v>18</v>
      </c>
      <c r="K11" s="17">
        <v>400</v>
      </c>
    </row>
    <row r="12" spans="4:11" x14ac:dyDescent="0.25">
      <c r="J12" s="15" t="s">
        <v>314</v>
      </c>
      <c r="K12" s="18">
        <v>940</v>
      </c>
    </row>
    <row r="13" spans="4:11" x14ac:dyDescent="0.25">
      <c r="D13" s="12" t="s">
        <v>16</v>
      </c>
      <c r="E13" t="s">
        <v>24</v>
      </c>
      <c r="G13" s="12" t="s">
        <v>16</v>
      </c>
      <c r="H13" t="s">
        <v>24</v>
      </c>
    </row>
    <row r="15" spans="4:11" x14ac:dyDescent="0.25">
      <c r="D15" s="5" t="s">
        <v>313</v>
      </c>
      <c r="E15" s="5" t="s">
        <v>315</v>
      </c>
      <c r="G15" s="12" t="s">
        <v>313</v>
      </c>
      <c r="H15" s="5" t="s">
        <v>317</v>
      </c>
    </row>
    <row r="16" spans="4:11" x14ac:dyDescent="0.25">
      <c r="D16" s="13" t="s">
        <v>23</v>
      </c>
      <c r="E16" s="14">
        <v>217</v>
      </c>
      <c r="G16" s="13" t="s">
        <v>22</v>
      </c>
      <c r="H16" s="17">
        <v>0</v>
      </c>
    </row>
    <row r="17" spans="4:10" x14ac:dyDescent="0.25">
      <c r="D17" s="13" t="s">
        <v>19</v>
      </c>
      <c r="E17" s="14">
        <v>1537</v>
      </c>
      <c r="G17" s="13" t="s">
        <v>26</v>
      </c>
      <c r="H17" s="17">
        <v>0</v>
      </c>
    </row>
    <row r="18" spans="4:10" x14ac:dyDescent="0.25">
      <c r="D18" s="15" t="s">
        <v>314</v>
      </c>
      <c r="E18" s="16">
        <v>1754</v>
      </c>
      <c r="G18" s="13" t="s">
        <v>18</v>
      </c>
      <c r="H18" s="17">
        <v>600</v>
      </c>
      <c r="J18" s="17">
        <f>GETPIVOTDATA("Minecraft Season Pass Price",$J$8)</f>
        <v>940</v>
      </c>
    </row>
    <row r="19" spans="4:10" x14ac:dyDescent="0.25">
      <c r="G19" s="15" t="s">
        <v>314</v>
      </c>
      <c r="H19" s="18">
        <v>600</v>
      </c>
      <c r="J19" s="17">
        <f>GETPIVOTDATA("EA Play Season Pass
Price",$G$15)</f>
        <v>600</v>
      </c>
    </row>
  </sheetData>
  <pageMargins left="0.511811024" right="0.511811024" top="0.78740157499999996" bottom="0.78740157499999996" header="0.31496062000000002" footer="0.31496062000000002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T277"/>
  <sheetViews>
    <sheetView showGridLines="0" showRowColHeaders="0" tabSelected="1" zoomScale="80" zoomScaleNormal="80" workbookViewId="0">
      <selection activeCell="C2" sqref="C2:F2"/>
    </sheetView>
  </sheetViews>
  <sheetFormatPr defaultColWidth="0" defaultRowHeight="15" zeroHeight="1" x14ac:dyDescent="0.25"/>
  <cols>
    <col min="1" max="1" width="32.140625" style="4" customWidth="1"/>
    <col min="2" max="2" width="3.5703125" customWidth="1"/>
    <col min="3" max="3" width="31" bestFit="1" customWidth="1"/>
    <col min="4" max="4" width="9.140625" customWidth="1"/>
    <col min="5" max="5" width="14.7109375" customWidth="1"/>
    <col min="6" max="11" width="9.140625" customWidth="1"/>
    <col min="12" max="12" width="6.5703125" customWidth="1"/>
    <col min="13" max="20" width="9.140625" customWidth="1"/>
    <col min="21" max="16383" width="9.140625" hidden="1"/>
    <col min="16384" max="16384" width="9.140625" hidden="1" customWidth="1"/>
  </cols>
  <sheetData>
    <row r="1" spans="1:17" x14ac:dyDescent="0.25"/>
    <row r="2" spans="1:17" ht="45.75" customHeight="1" thickBot="1" x14ac:dyDescent="0.4">
      <c r="C2" s="20" t="s">
        <v>316</v>
      </c>
      <c r="D2" s="20"/>
      <c r="E2" s="20"/>
      <c r="F2" s="20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7" ht="15.75" thickTop="1" x14ac:dyDescent="0.25"/>
    <row r="4" spans="1:17" s="7" customFormat="1" x14ac:dyDescent="0.25">
      <c r="A4" s="4"/>
    </row>
    <row r="5" spans="1:17" s="7" customFormat="1" x14ac:dyDescent="0.25">
      <c r="A5" s="4"/>
    </row>
    <row r="6" spans="1:17" s="7" customFormat="1" x14ac:dyDescent="0.25">
      <c r="A6" s="4"/>
    </row>
    <row r="7" spans="1:17" s="7" customFormat="1" x14ac:dyDescent="0.25">
      <c r="A7" s="4"/>
    </row>
    <row r="8" spans="1:17" s="7" customFormat="1" x14ac:dyDescent="0.25">
      <c r="A8" s="4"/>
    </row>
    <row r="9" spans="1:17" s="7" customFormat="1" x14ac:dyDescent="0.25">
      <c r="A9" s="4"/>
    </row>
    <row r="10" spans="1:17" s="7" customFormat="1" x14ac:dyDescent="0.25">
      <c r="A10" s="4"/>
    </row>
    <row r="11" spans="1:17" s="7" customFormat="1" x14ac:dyDescent="0.25">
      <c r="A11" s="4"/>
    </row>
    <row r="12" spans="1:17" s="7" customFormat="1" x14ac:dyDescent="0.25">
      <c r="A12" s="4"/>
    </row>
    <row r="13" spans="1:17" s="7" customFormat="1" x14ac:dyDescent="0.25">
      <c r="A13" s="4"/>
    </row>
    <row r="14" spans="1:17" s="7" customFormat="1" x14ac:dyDescent="0.25">
      <c r="A14" s="4"/>
    </row>
    <row r="15" spans="1:17" s="7" customFormat="1" x14ac:dyDescent="0.25">
      <c r="A15" s="4"/>
    </row>
    <row r="16" spans="1:17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hidden="1" x14ac:dyDescent="0.25">
      <c r="A35" s="4"/>
    </row>
    <row r="36" spans="1:1" s="7" customFormat="1" hidden="1" x14ac:dyDescent="0.25">
      <c r="A36" s="4"/>
    </row>
    <row r="37" spans="1:1" s="7" customFormat="1" hidden="1" x14ac:dyDescent="0.25">
      <c r="A37" s="4"/>
    </row>
    <row r="38" spans="1:1" s="7" customFormat="1" hidden="1" x14ac:dyDescent="0.25">
      <c r="A38" s="4"/>
    </row>
    <row r="39" spans="1:1" s="7" customFormat="1" hidden="1" x14ac:dyDescent="0.25">
      <c r="A39" s="4"/>
    </row>
    <row r="40" spans="1:1" s="7" customFormat="1" hidden="1" x14ac:dyDescent="0.25">
      <c r="A40" s="4"/>
    </row>
    <row r="41" spans="1:1" s="7" customFormat="1" hidden="1" x14ac:dyDescent="0.25">
      <c r="A41" s="4"/>
    </row>
    <row r="42" spans="1:1" s="7" customFormat="1" hidden="1" x14ac:dyDescent="0.25">
      <c r="A42" s="4"/>
    </row>
    <row r="43" spans="1:1" s="7" customFormat="1" hidden="1" x14ac:dyDescent="0.25">
      <c r="A43" s="4"/>
    </row>
    <row r="44" spans="1:1" s="7" customFormat="1" hidden="1" x14ac:dyDescent="0.25">
      <c r="A44" s="4"/>
    </row>
    <row r="45" spans="1:1" s="7" customFormat="1" hidden="1" x14ac:dyDescent="0.25">
      <c r="A45" s="4"/>
    </row>
    <row r="46" spans="1:1" s="7" customFormat="1" hidden="1" x14ac:dyDescent="0.25">
      <c r="A46" s="4"/>
    </row>
    <row r="47" spans="1:1" s="7" customFormat="1" hidden="1" x14ac:dyDescent="0.25">
      <c r="A47" s="4"/>
    </row>
    <row r="48" spans="1:1" s="7" customFormat="1" hidden="1" x14ac:dyDescent="0.25">
      <c r="A48" s="4"/>
    </row>
    <row r="49" spans="1:1" s="7" customFormat="1" hidden="1" x14ac:dyDescent="0.25">
      <c r="A49" s="4"/>
    </row>
    <row r="50" spans="1:1" s="7" customFormat="1" hidden="1" x14ac:dyDescent="0.25">
      <c r="A50" s="4"/>
    </row>
    <row r="51" spans="1:1" s="7" customFormat="1" hidden="1" x14ac:dyDescent="0.25">
      <c r="A51" s="4"/>
    </row>
    <row r="52" spans="1:1" s="7" customFormat="1" hidden="1" x14ac:dyDescent="0.25">
      <c r="A52" s="4"/>
    </row>
    <row r="53" spans="1:1" s="7" customFormat="1" hidden="1" x14ac:dyDescent="0.25">
      <c r="A53" s="4"/>
    </row>
    <row r="54" spans="1:1" s="7" customFormat="1" hidden="1" x14ac:dyDescent="0.25">
      <c r="A54" s="4"/>
    </row>
    <row r="55" spans="1:1" s="7" customFormat="1" hidden="1" x14ac:dyDescent="0.25">
      <c r="A55" s="4"/>
    </row>
    <row r="56" spans="1:1" s="7" customFormat="1" hidden="1" x14ac:dyDescent="0.25">
      <c r="A56" s="4"/>
    </row>
    <row r="57" spans="1:1" s="7" customFormat="1" hidden="1" x14ac:dyDescent="0.25">
      <c r="A57" s="4"/>
    </row>
    <row r="58" spans="1:1" s="7" customFormat="1" hidden="1" x14ac:dyDescent="0.25">
      <c r="A58" s="4"/>
    </row>
    <row r="59" spans="1:1" s="7" customFormat="1" hidden="1" x14ac:dyDescent="0.25">
      <c r="A59" s="4"/>
    </row>
    <row r="60" spans="1:1" s="7" customFormat="1" hidden="1" x14ac:dyDescent="0.25">
      <c r="A60" s="4"/>
    </row>
    <row r="61" spans="1:1" s="7" customFormat="1" hidden="1" x14ac:dyDescent="0.25">
      <c r="A61" s="4"/>
    </row>
    <row r="62" spans="1:1" s="7" customFormat="1" hidden="1" x14ac:dyDescent="0.25">
      <c r="A62" s="4"/>
    </row>
    <row r="63" spans="1:1" s="7" customFormat="1" hidden="1" x14ac:dyDescent="0.25">
      <c r="A63" s="4"/>
    </row>
    <row r="64" spans="1:1" s="7" customFormat="1" hidden="1" x14ac:dyDescent="0.25">
      <c r="A64" s="4"/>
    </row>
    <row r="65" spans="1:1" s="7" customFormat="1" hidden="1" x14ac:dyDescent="0.25">
      <c r="A65" s="4"/>
    </row>
    <row r="66" spans="1:1" s="7" customFormat="1" hidden="1" x14ac:dyDescent="0.25">
      <c r="A66" s="4"/>
    </row>
    <row r="67" spans="1:1" s="7" customFormat="1" hidden="1" x14ac:dyDescent="0.25">
      <c r="A67" s="4"/>
    </row>
    <row r="68" spans="1:1" s="7" customFormat="1" hidden="1" x14ac:dyDescent="0.25">
      <c r="A68" s="4"/>
    </row>
    <row r="69" spans="1:1" s="7" customFormat="1" hidden="1" x14ac:dyDescent="0.25">
      <c r="A69" s="4"/>
    </row>
    <row r="70" spans="1:1" s="7" customFormat="1" hidden="1" x14ac:dyDescent="0.25">
      <c r="A70" s="4"/>
    </row>
    <row r="71" spans="1:1" s="7" customFormat="1" hidden="1" x14ac:dyDescent="0.25">
      <c r="A71" s="4"/>
    </row>
    <row r="72" spans="1:1" s="7" customFormat="1" hidden="1" x14ac:dyDescent="0.25">
      <c r="A72" s="4"/>
    </row>
    <row r="73" spans="1:1" s="7" customFormat="1" hidden="1" x14ac:dyDescent="0.25">
      <c r="A73" s="4"/>
    </row>
    <row r="74" spans="1:1" s="7" customFormat="1" hidden="1" x14ac:dyDescent="0.25">
      <c r="A74" s="4"/>
    </row>
    <row r="75" spans="1:1" s="7" customFormat="1" hidden="1" x14ac:dyDescent="0.25">
      <c r="A75" s="4"/>
    </row>
    <row r="76" spans="1:1" s="7" customFormat="1" hidden="1" x14ac:dyDescent="0.25">
      <c r="A76" s="4"/>
    </row>
    <row r="77" spans="1:1" s="7" customFormat="1" hidden="1" x14ac:dyDescent="0.25">
      <c r="A77" s="4"/>
    </row>
    <row r="78" spans="1:1" s="7" customFormat="1" hidden="1" x14ac:dyDescent="0.25">
      <c r="A78" s="4"/>
    </row>
    <row r="79" spans="1:1" s="7" customFormat="1" hidden="1" x14ac:dyDescent="0.25">
      <c r="A79" s="4"/>
    </row>
    <row r="80" spans="1:1" s="7" customFormat="1" hidden="1" x14ac:dyDescent="0.25">
      <c r="A80" s="4"/>
    </row>
    <row r="81" spans="1:1" s="7" customFormat="1" hidden="1" x14ac:dyDescent="0.25">
      <c r="A81" s="4"/>
    </row>
    <row r="82" spans="1:1" s="7" customFormat="1" hidden="1" x14ac:dyDescent="0.25">
      <c r="A82" s="4"/>
    </row>
    <row r="83" spans="1:1" s="7" customFormat="1" hidden="1" x14ac:dyDescent="0.25">
      <c r="A83" s="4"/>
    </row>
    <row r="84" spans="1:1" s="7" customFormat="1" hidden="1" x14ac:dyDescent="0.25">
      <c r="A84" s="4"/>
    </row>
    <row r="85" spans="1:1" s="7" customFormat="1" hidden="1" x14ac:dyDescent="0.25">
      <c r="A85" s="4"/>
    </row>
    <row r="86" spans="1:1" s="7" customFormat="1" hidden="1" x14ac:dyDescent="0.25">
      <c r="A86" s="4"/>
    </row>
    <row r="87" spans="1:1" s="7" customFormat="1" hidden="1" x14ac:dyDescent="0.25">
      <c r="A87" s="4"/>
    </row>
    <row r="88" spans="1:1" s="7" customFormat="1" hidden="1" x14ac:dyDescent="0.25">
      <c r="A88" s="4"/>
    </row>
    <row r="89" spans="1:1" s="7" customFormat="1" hidden="1" x14ac:dyDescent="0.25">
      <c r="A89" s="4"/>
    </row>
    <row r="90" spans="1:1" s="7" customFormat="1" hidden="1" x14ac:dyDescent="0.25">
      <c r="A90" s="4"/>
    </row>
    <row r="91" spans="1:1" s="7" customFormat="1" hidden="1" x14ac:dyDescent="0.25">
      <c r="A91" s="4"/>
    </row>
    <row r="92" spans="1:1" s="7" customFormat="1" hidden="1" x14ac:dyDescent="0.25">
      <c r="A92" s="4"/>
    </row>
    <row r="93" spans="1:1" s="7" customFormat="1" hidden="1" x14ac:dyDescent="0.25">
      <c r="A93" s="4"/>
    </row>
    <row r="94" spans="1:1" s="7" customFormat="1" hidden="1" x14ac:dyDescent="0.25">
      <c r="A94" s="4"/>
    </row>
    <row r="95" spans="1:1" s="7" customFormat="1" hidden="1" x14ac:dyDescent="0.25">
      <c r="A95" s="4"/>
    </row>
    <row r="96" spans="1:1" s="7" customFormat="1" hidden="1" x14ac:dyDescent="0.25">
      <c r="A96" s="4"/>
    </row>
    <row r="97" spans="1:1" s="7" customFormat="1" hidden="1" x14ac:dyDescent="0.25">
      <c r="A97" s="4"/>
    </row>
    <row r="98" spans="1:1" s="7" customFormat="1" hidden="1" x14ac:dyDescent="0.25">
      <c r="A98" s="4"/>
    </row>
    <row r="99" spans="1:1" s="7" customFormat="1" hidden="1" x14ac:dyDescent="0.25">
      <c r="A99" s="4"/>
    </row>
    <row r="100" spans="1:1" s="7" customFormat="1" hidden="1" x14ac:dyDescent="0.25">
      <c r="A100" s="4"/>
    </row>
    <row r="101" spans="1:1" s="7" customFormat="1" hidden="1" x14ac:dyDescent="0.25">
      <c r="A101" s="4"/>
    </row>
    <row r="102" spans="1:1" s="7" customFormat="1" hidden="1" x14ac:dyDescent="0.25">
      <c r="A102" s="4"/>
    </row>
    <row r="103" spans="1:1" s="7" customFormat="1" hidden="1" x14ac:dyDescent="0.25">
      <c r="A103" s="4"/>
    </row>
    <row r="104" spans="1:1" s="7" customFormat="1" hidden="1" x14ac:dyDescent="0.25">
      <c r="A104" s="4"/>
    </row>
    <row r="105" spans="1:1" s="7" customFormat="1" hidden="1" x14ac:dyDescent="0.25">
      <c r="A105" s="4"/>
    </row>
    <row r="106" spans="1:1" s="7" customFormat="1" hidden="1" x14ac:dyDescent="0.25">
      <c r="A106" s="4"/>
    </row>
    <row r="107" spans="1:1" s="7" customFormat="1" hidden="1" x14ac:dyDescent="0.25">
      <c r="A107" s="4"/>
    </row>
    <row r="108" spans="1:1" s="7" customFormat="1" hidden="1" x14ac:dyDescent="0.25">
      <c r="A108" s="4"/>
    </row>
    <row r="109" spans="1:1" s="7" customFormat="1" hidden="1" x14ac:dyDescent="0.25">
      <c r="A109" s="4"/>
    </row>
    <row r="110" spans="1:1" s="7" customFormat="1" hidden="1" x14ac:dyDescent="0.25">
      <c r="A110" s="4"/>
    </row>
    <row r="111" spans="1:1" s="7" customFormat="1" hidden="1" x14ac:dyDescent="0.25">
      <c r="A111" s="4"/>
    </row>
    <row r="112" spans="1:1" s="7" customFormat="1" hidden="1" x14ac:dyDescent="0.25">
      <c r="A112" s="4"/>
    </row>
    <row r="113" spans="1:1" s="7" customFormat="1" hidden="1" x14ac:dyDescent="0.25">
      <c r="A113" s="4"/>
    </row>
    <row r="114" spans="1:1" s="7" customFormat="1" hidden="1" x14ac:dyDescent="0.25">
      <c r="A114" s="4"/>
    </row>
    <row r="115" spans="1:1" s="7" customFormat="1" hidden="1" x14ac:dyDescent="0.25">
      <c r="A115" s="4"/>
    </row>
    <row r="116" spans="1:1" s="7" customFormat="1" hidden="1" x14ac:dyDescent="0.25">
      <c r="A116" s="4"/>
    </row>
    <row r="117" spans="1:1" s="7" customFormat="1" hidden="1" x14ac:dyDescent="0.25">
      <c r="A117" s="4"/>
    </row>
    <row r="118" spans="1:1" s="7" customFormat="1" hidden="1" x14ac:dyDescent="0.25">
      <c r="A118" s="4"/>
    </row>
    <row r="119" spans="1:1" s="7" customFormat="1" hidden="1" x14ac:dyDescent="0.25">
      <c r="A119" s="4"/>
    </row>
    <row r="120" spans="1:1" s="7" customFormat="1" hidden="1" x14ac:dyDescent="0.25">
      <c r="A120" s="4"/>
    </row>
    <row r="121" spans="1:1" s="7" customFormat="1" hidden="1" x14ac:dyDescent="0.25">
      <c r="A121" s="4"/>
    </row>
    <row r="122" spans="1:1" s="7" customFormat="1" hidden="1" x14ac:dyDescent="0.25">
      <c r="A122" s="4"/>
    </row>
    <row r="123" spans="1:1" s="7" customFormat="1" hidden="1" x14ac:dyDescent="0.25">
      <c r="A123" s="4"/>
    </row>
    <row r="124" spans="1:1" s="7" customFormat="1" hidden="1" x14ac:dyDescent="0.25">
      <c r="A124" s="4"/>
    </row>
    <row r="125" spans="1:1" s="7" customFormat="1" hidden="1" x14ac:dyDescent="0.25">
      <c r="A125" s="4"/>
    </row>
    <row r="126" spans="1:1" s="7" customFormat="1" hidden="1" x14ac:dyDescent="0.25">
      <c r="A126" s="4"/>
    </row>
    <row r="127" spans="1:1" s="7" customFormat="1" hidden="1" x14ac:dyDescent="0.25">
      <c r="A127" s="4"/>
    </row>
    <row r="128" spans="1:1" s="7" customFormat="1" hidden="1" x14ac:dyDescent="0.25">
      <c r="A128" s="4"/>
    </row>
    <row r="129" spans="1:1" s="7" customFormat="1" hidden="1" x14ac:dyDescent="0.25">
      <c r="A129" s="4"/>
    </row>
    <row r="130" spans="1:1" s="7" customFormat="1" hidden="1" x14ac:dyDescent="0.25">
      <c r="A130" s="4"/>
    </row>
    <row r="131" spans="1:1" s="7" customFormat="1" hidden="1" x14ac:dyDescent="0.25">
      <c r="A131" s="4"/>
    </row>
    <row r="132" spans="1:1" s="7" customFormat="1" hidden="1" x14ac:dyDescent="0.25">
      <c r="A132" s="4"/>
    </row>
    <row r="133" spans="1:1" s="7" customFormat="1" hidden="1" x14ac:dyDescent="0.25">
      <c r="A133" s="4"/>
    </row>
    <row r="134" spans="1:1" s="7" customFormat="1" hidden="1" x14ac:dyDescent="0.25">
      <c r="A134" s="4"/>
    </row>
    <row r="135" spans="1:1" s="7" customFormat="1" hidden="1" x14ac:dyDescent="0.25">
      <c r="A135" s="4"/>
    </row>
    <row r="136" spans="1:1" s="7" customFormat="1" hidden="1" x14ac:dyDescent="0.25">
      <c r="A136" s="4"/>
    </row>
    <row r="137" spans="1:1" s="7" customFormat="1" hidden="1" x14ac:dyDescent="0.25">
      <c r="A137" s="4"/>
    </row>
    <row r="138" spans="1:1" s="7" customFormat="1" hidden="1" x14ac:dyDescent="0.25">
      <c r="A138" s="4"/>
    </row>
    <row r="139" spans="1:1" s="7" customFormat="1" hidden="1" x14ac:dyDescent="0.25">
      <c r="A139" s="4"/>
    </row>
    <row r="140" spans="1:1" s="7" customFormat="1" hidden="1" x14ac:dyDescent="0.25">
      <c r="A140" s="4"/>
    </row>
    <row r="141" spans="1:1" s="7" customFormat="1" hidden="1" x14ac:dyDescent="0.25">
      <c r="A141" s="4"/>
    </row>
    <row r="142" spans="1:1" s="7" customFormat="1" hidden="1" x14ac:dyDescent="0.25">
      <c r="A142" s="4"/>
    </row>
    <row r="143" spans="1:1" s="7" customFormat="1" hidden="1" x14ac:dyDescent="0.25">
      <c r="A143" s="4"/>
    </row>
    <row r="144" spans="1:1" s="7" customFormat="1" hidden="1" x14ac:dyDescent="0.25">
      <c r="A144" s="4"/>
    </row>
    <row r="145" spans="1:1" s="7" customFormat="1" hidden="1" x14ac:dyDescent="0.25">
      <c r="A145" s="4"/>
    </row>
    <row r="146" spans="1:1" s="7" customFormat="1" hidden="1" x14ac:dyDescent="0.25">
      <c r="A146" s="4"/>
    </row>
    <row r="147" spans="1:1" s="7" customFormat="1" hidden="1" x14ac:dyDescent="0.25">
      <c r="A147" s="4"/>
    </row>
    <row r="148" spans="1:1" s="7" customFormat="1" hidden="1" x14ac:dyDescent="0.25">
      <c r="A148" s="4"/>
    </row>
    <row r="149" spans="1:1" s="7" customFormat="1" hidden="1" x14ac:dyDescent="0.25">
      <c r="A149" s="4"/>
    </row>
    <row r="150" spans="1:1" s="7" customFormat="1" hidden="1" x14ac:dyDescent="0.25">
      <c r="A150" s="4"/>
    </row>
    <row r="151" spans="1:1" s="7" customFormat="1" hidden="1" x14ac:dyDescent="0.25">
      <c r="A151" s="4"/>
    </row>
    <row r="152" spans="1:1" s="7" customFormat="1" hidden="1" x14ac:dyDescent="0.25">
      <c r="A152" s="4"/>
    </row>
    <row r="153" spans="1:1" s="7" customFormat="1" hidden="1" x14ac:dyDescent="0.25">
      <c r="A153" s="4"/>
    </row>
    <row r="154" spans="1:1" s="7" customFormat="1" hidden="1" x14ac:dyDescent="0.25">
      <c r="A154" s="4"/>
    </row>
    <row r="155" spans="1:1" s="7" customFormat="1" hidden="1" x14ac:dyDescent="0.25">
      <c r="A155" s="4"/>
    </row>
    <row r="156" spans="1:1" s="7" customFormat="1" hidden="1" x14ac:dyDescent="0.25">
      <c r="A156" s="4"/>
    </row>
    <row r="157" spans="1:1" s="7" customFormat="1" hidden="1" x14ac:dyDescent="0.25">
      <c r="A157" s="4"/>
    </row>
    <row r="158" spans="1:1" s="7" customFormat="1" hidden="1" x14ac:dyDescent="0.25">
      <c r="A158" s="4"/>
    </row>
    <row r="159" spans="1:1" s="7" customFormat="1" hidden="1" x14ac:dyDescent="0.25">
      <c r="A159" s="4"/>
    </row>
    <row r="160" spans="1:1" s="7" customFormat="1" hidden="1" x14ac:dyDescent="0.25">
      <c r="A160" s="4"/>
    </row>
    <row r="161" spans="1:1" s="7" customFormat="1" hidden="1" x14ac:dyDescent="0.25">
      <c r="A161" s="4"/>
    </row>
    <row r="162" spans="1:1" s="7" customFormat="1" hidden="1" x14ac:dyDescent="0.25">
      <c r="A162" s="4"/>
    </row>
    <row r="163" spans="1:1" s="7" customFormat="1" hidden="1" x14ac:dyDescent="0.25">
      <c r="A163" s="4"/>
    </row>
    <row r="164" spans="1:1" s="7" customFormat="1" hidden="1" x14ac:dyDescent="0.25">
      <c r="A164" s="4"/>
    </row>
    <row r="165" spans="1:1" s="7" customFormat="1" hidden="1" x14ac:dyDescent="0.25">
      <c r="A165" s="4"/>
    </row>
    <row r="166" spans="1:1" s="7" customFormat="1" hidden="1" x14ac:dyDescent="0.25">
      <c r="A166" s="4"/>
    </row>
    <row r="167" spans="1:1" s="7" customFormat="1" hidden="1" x14ac:dyDescent="0.25">
      <c r="A167" s="4"/>
    </row>
    <row r="168" spans="1:1" s="7" customFormat="1" hidden="1" x14ac:dyDescent="0.25">
      <c r="A168" s="4"/>
    </row>
    <row r="169" spans="1:1" s="7" customFormat="1" hidden="1" x14ac:dyDescent="0.25">
      <c r="A169" s="4"/>
    </row>
    <row r="170" spans="1:1" s="7" customFormat="1" hidden="1" x14ac:dyDescent="0.25">
      <c r="A170" s="4"/>
    </row>
    <row r="171" spans="1:1" s="7" customFormat="1" hidden="1" x14ac:dyDescent="0.25">
      <c r="A171" s="4"/>
    </row>
    <row r="172" spans="1:1" s="7" customFormat="1" hidden="1" x14ac:dyDescent="0.25">
      <c r="A172" s="4"/>
    </row>
    <row r="173" spans="1:1" s="7" customFormat="1" hidden="1" x14ac:dyDescent="0.25">
      <c r="A173" s="4"/>
    </row>
    <row r="174" spans="1:1" s="7" customFormat="1" hidden="1" x14ac:dyDescent="0.25">
      <c r="A174" s="4"/>
    </row>
    <row r="175" spans="1:1" s="7" customFormat="1" hidden="1" x14ac:dyDescent="0.25">
      <c r="A175" s="4"/>
    </row>
    <row r="176" spans="1:1" s="7" customFormat="1" hidden="1" x14ac:dyDescent="0.25">
      <c r="A176" s="4"/>
    </row>
    <row r="177" spans="1:1" s="7" customFormat="1" hidden="1" x14ac:dyDescent="0.25">
      <c r="A177" s="4"/>
    </row>
    <row r="178" spans="1:1" s="7" customFormat="1" hidden="1" x14ac:dyDescent="0.25">
      <c r="A178" s="4"/>
    </row>
    <row r="179" spans="1:1" s="7" customFormat="1" hidden="1" x14ac:dyDescent="0.25">
      <c r="A179" s="4"/>
    </row>
    <row r="180" spans="1:1" s="7" customFormat="1" hidden="1" x14ac:dyDescent="0.25">
      <c r="A180" s="4"/>
    </row>
    <row r="181" spans="1:1" s="7" customFormat="1" hidden="1" x14ac:dyDescent="0.25">
      <c r="A181" s="4"/>
    </row>
    <row r="182" spans="1:1" s="7" customFormat="1" hidden="1" x14ac:dyDescent="0.25">
      <c r="A182" s="4"/>
    </row>
    <row r="183" spans="1:1" s="7" customFormat="1" hidden="1" x14ac:dyDescent="0.25">
      <c r="A183" s="4"/>
    </row>
    <row r="184" spans="1:1" s="7" customFormat="1" hidden="1" x14ac:dyDescent="0.25">
      <c r="A184" s="4"/>
    </row>
    <row r="185" spans="1:1" s="7" customFormat="1" hidden="1" x14ac:dyDescent="0.25">
      <c r="A185" s="4"/>
    </row>
    <row r="186" spans="1:1" s="7" customFormat="1" hidden="1" x14ac:dyDescent="0.25">
      <c r="A186" s="4"/>
    </row>
    <row r="187" spans="1:1" s="7" customFormat="1" hidden="1" x14ac:dyDescent="0.25">
      <c r="A187" s="4"/>
    </row>
    <row r="188" spans="1:1" s="7" customFormat="1" hidden="1" x14ac:dyDescent="0.25">
      <c r="A188" s="4"/>
    </row>
    <row r="189" spans="1:1" s="7" customFormat="1" hidden="1" x14ac:dyDescent="0.25">
      <c r="A189" s="4"/>
    </row>
    <row r="190" spans="1:1" s="7" customFormat="1" hidden="1" x14ac:dyDescent="0.25">
      <c r="A190" s="4"/>
    </row>
    <row r="191" spans="1:1" s="7" customFormat="1" hidden="1" x14ac:dyDescent="0.25">
      <c r="A191" s="4"/>
    </row>
    <row r="192" spans="1:1" s="7" customFormat="1" hidden="1" x14ac:dyDescent="0.25">
      <c r="A192" s="4"/>
    </row>
    <row r="193" spans="1:1" s="7" customFormat="1" hidden="1" x14ac:dyDescent="0.25">
      <c r="A193" s="4"/>
    </row>
    <row r="194" spans="1:1" s="7" customFormat="1" hidden="1" x14ac:dyDescent="0.25">
      <c r="A194" s="4"/>
    </row>
    <row r="195" spans="1:1" s="7" customFormat="1" hidden="1" x14ac:dyDescent="0.25">
      <c r="A195" s="4"/>
    </row>
    <row r="196" spans="1:1" s="7" customFormat="1" hidden="1" x14ac:dyDescent="0.25">
      <c r="A196" s="4"/>
    </row>
    <row r="197" spans="1:1" s="7" customFormat="1" hidden="1" x14ac:dyDescent="0.25">
      <c r="A197" s="4"/>
    </row>
    <row r="198" spans="1:1" s="7" customFormat="1" hidden="1" x14ac:dyDescent="0.25">
      <c r="A198" s="4"/>
    </row>
    <row r="199" spans="1:1" s="7" customFormat="1" hidden="1" x14ac:dyDescent="0.25">
      <c r="A199" s="4"/>
    </row>
    <row r="200" spans="1:1" s="7" customFormat="1" hidden="1" x14ac:dyDescent="0.25">
      <c r="A200" s="4"/>
    </row>
    <row r="201" spans="1:1" s="7" customFormat="1" hidden="1" x14ac:dyDescent="0.25">
      <c r="A201" s="4"/>
    </row>
    <row r="202" spans="1:1" s="7" customFormat="1" hidden="1" x14ac:dyDescent="0.25">
      <c r="A202" s="4"/>
    </row>
    <row r="203" spans="1:1" s="7" customFormat="1" hidden="1" x14ac:dyDescent="0.25">
      <c r="A203" s="4"/>
    </row>
    <row r="204" spans="1:1" s="7" customFormat="1" hidden="1" x14ac:dyDescent="0.25">
      <c r="A204" s="4"/>
    </row>
    <row r="205" spans="1:1" s="7" customFormat="1" hidden="1" x14ac:dyDescent="0.25">
      <c r="A205" s="4"/>
    </row>
    <row r="206" spans="1:1" s="7" customFormat="1" hidden="1" x14ac:dyDescent="0.25">
      <c r="A206" s="4"/>
    </row>
    <row r="207" spans="1:1" s="7" customFormat="1" hidden="1" x14ac:dyDescent="0.25">
      <c r="A207" s="4"/>
    </row>
    <row r="208" spans="1:1" s="7" customFormat="1" hidden="1" x14ac:dyDescent="0.25">
      <c r="A208" s="4"/>
    </row>
    <row r="209" spans="1:1" s="7" customFormat="1" hidden="1" x14ac:dyDescent="0.25">
      <c r="A209" s="4"/>
    </row>
    <row r="210" spans="1:1" s="7" customFormat="1" hidden="1" x14ac:dyDescent="0.25">
      <c r="A210" s="4"/>
    </row>
    <row r="211" spans="1:1" s="7" customFormat="1" hidden="1" x14ac:dyDescent="0.25">
      <c r="A211" s="4"/>
    </row>
    <row r="212" spans="1:1" s="7" customFormat="1" hidden="1" x14ac:dyDescent="0.25">
      <c r="A212" s="4"/>
    </row>
    <row r="213" spans="1:1" s="7" customFormat="1" hidden="1" x14ac:dyDescent="0.25">
      <c r="A213" s="4"/>
    </row>
    <row r="214" spans="1:1" s="7" customFormat="1" hidden="1" x14ac:dyDescent="0.25">
      <c r="A214" s="4"/>
    </row>
    <row r="215" spans="1:1" s="7" customFormat="1" hidden="1" x14ac:dyDescent="0.25">
      <c r="A215" s="4"/>
    </row>
    <row r="216" spans="1:1" s="7" customFormat="1" hidden="1" x14ac:dyDescent="0.25">
      <c r="A216" s="4"/>
    </row>
    <row r="217" spans="1:1" s="7" customFormat="1" hidden="1" x14ac:dyDescent="0.25">
      <c r="A217" s="4"/>
    </row>
    <row r="218" spans="1:1" s="7" customFormat="1" hidden="1" x14ac:dyDescent="0.25">
      <c r="A218" s="4"/>
    </row>
    <row r="219" spans="1:1" s="7" customFormat="1" hidden="1" x14ac:dyDescent="0.25">
      <c r="A219" s="4"/>
    </row>
    <row r="220" spans="1:1" s="7" customFormat="1" hidden="1" x14ac:dyDescent="0.25">
      <c r="A220" s="4"/>
    </row>
    <row r="221" spans="1:1" s="7" customFormat="1" hidden="1" x14ac:dyDescent="0.25">
      <c r="A221" s="4"/>
    </row>
    <row r="222" spans="1:1" s="7" customFormat="1" hidden="1" x14ac:dyDescent="0.25">
      <c r="A222" s="4"/>
    </row>
    <row r="223" spans="1:1" s="7" customFormat="1" hidden="1" x14ac:dyDescent="0.25">
      <c r="A223" s="4"/>
    </row>
    <row r="224" spans="1:1" s="7" customFormat="1" hidden="1" x14ac:dyDescent="0.25">
      <c r="A224" s="4"/>
    </row>
    <row r="225" spans="1:1" s="7" customFormat="1" hidden="1" x14ac:dyDescent="0.25">
      <c r="A225" s="4"/>
    </row>
    <row r="226" spans="1:1" s="7" customFormat="1" hidden="1" x14ac:dyDescent="0.25">
      <c r="A226" s="4"/>
    </row>
    <row r="227" spans="1:1" s="7" customFormat="1" hidden="1" x14ac:dyDescent="0.25">
      <c r="A227" s="4"/>
    </row>
    <row r="228" spans="1:1" s="7" customFormat="1" hidden="1" x14ac:dyDescent="0.25">
      <c r="A228" s="4"/>
    </row>
    <row r="229" spans="1:1" s="7" customFormat="1" hidden="1" x14ac:dyDescent="0.25">
      <c r="A229" s="4"/>
    </row>
    <row r="230" spans="1:1" s="7" customFormat="1" hidden="1" x14ac:dyDescent="0.25">
      <c r="A230" s="4"/>
    </row>
    <row r="231" spans="1:1" s="7" customFormat="1" hidden="1" x14ac:dyDescent="0.25">
      <c r="A231" s="4"/>
    </row>
    <row r="232" spans="1:1" s="7" customFormat="1" hidden="1" x14ac:dyDescent="0.25">
      <c r="A232" s="4"/>
    </row>
    <row r="233" spans="1:1" s="7" customFormat="1" hidden="1" x14ac:dyDescent="0.25">
      <c r="A233" s="4"/>
    </row>
    <row r="234" spans="1:1" s="7" customFormat="1" hidden="1" x14ac:dyDescent="0.25">
      <c r="A234" s="4"/>
    </row>
    <row r="235" spans="1:1" s="7" customFormat="1" hidden="1" x14ac:dyDescent="0.25">
      <c r="A235" s="4"/>
    </row>
    <row r="236" spans="1:1" s="7" customFormat="1" hidden="1" x14ac:dyDescent="0.25">
      <c r="A236" s="4"/>
    </row>
    <row r="237" spans="1:1" s="7" customFormat="1" hidden="1" x14ac:dyDescent="0.25">
      <c r="A237" s="4"/>
    </row>
    <row r="238" spans="1:1" s="7" customFormat="1" hidden="1" x14ac:dyDescent="0.25">
      <c r="A238" s="4"/>
    </row>
    <row r="239" spans="1:1" s="7" customFormat="1" hidden="1" x14ac:dyDescent="0.25">
      <c r="A239" s="4"/>
    </row>
    <row r="240" spans="1:1" s="7" customFormat="1" hidden="1" x14ac:dyDescent="0.25">
      <c r="A240" s="4"/>
    </row>
    <row r="241" spans="1:1" s="7" customFormat="1" hidden="1" x14ac:dyDescent="0.25">
      <c r="A241" s="4"/>
    </row>
    <row r="242" spans="1:1" s="7" customFormat="1" hidden="1" x14ac:dyDescent="0.25">
      <c r="A242" s="4"/>
    </row>
    <row r="243" spans="1:1" s="7" customFormat="1" hidden="1" x14ac:dyDescent="0.25">
      <c r="A243" s="4"/>
    </row>
    <row r="244" spans="1:1" s="7" customFormat="1" hidden="1" x14ac:dyDescent="0.25">
      <c r="A244" s="4"/>
    </row>
    <row r="245" spans="1:1" s="7" customFormat="1" hidden="1" x14ac:dyDescent="0.25">
      <c r="A245" s="4"/>
    </row>
    <row r="246" spans="1:1" s="7" customFormat="1" hidden="1" x14ac:dyDescent="0.25">
      <c r="A246" s="4"/>
    </row>
    <row r="247" spans="1:1" s="7" customFormat="1" hidden="1" x14ac:dyDescent="0.25">
      <c r="A247" s="4"/>
    </row>
    <row r="248" spans="1:1" s="7" customFormat="1" hidden="1" x14ac:dyDescent="0.25">
      <c r="A248" s="4"/>
    </row>
    <row r="249" spans="1:1" s="7" customFormat="1" hidden="1" x14ac:dyDescent="0.25">
      <c r="A249" s="4"/>
    </row>
    <row r="250" spans="1:1" s="7" customFormat="1" hidden="1" x14ac:dyDescent="0.25">
      <c r="A250" s="4"/>
    </row>
    <row r="251" spans="1:1" s="7" customFormat="1" hidden="1" x14ac:dyDescent="0.25">
      <c r="A251" s="4"/>
    </row>
    <row r="252" spans="1:1" s="7" customFormat="1" hidden="1" x14ac:dyDescent="0.25">
      <c r="A252" s="4"/>
    </row>
    <row r="253" spans="1:1" s="7" customFormat="1" hidden="1" x14ac:dyDescent="0.25">
      <c r="A253" s="4"/>
    </row>
    <row r="254" spans="1:1" s="7" customFormat="1" hidden="1" x14ac:dyDescent="0.25">
      <c r="A254" s="4"/>
    </row>
    <row r="255" spans="1:1" s="7" customFormat="1" hidden="1" x14ac:dyDescent="0.25">
      <c r="A255" s="4"/>
    </row>
    <row r="256" spans="1:1" s="7" customFormat="1" hidden="1" x14ac:dyDescent="0.25">
      <c r="A256" s="4"/>
    </row>
    <row r="257" spans="1:1" s="7" customFormat="1" hidden="1" x14ac:dyDescent="0.25">
      <c r="A257" s="4"/>
    </row>
    <row r="258" spans="1:1" s="7" customFormat="1" hidden="1" x14ac:dyDescent="0.25">
      <c r="A258" s="4"/>
    </row>
    <row r="259" spans="1:1" s="7" customFormat="1" hidden="1" x14ac:dyDescent="0.25">
      <c r="A259" s="4"/>
    </row>
    <row r="260" spans="1:1" s="7" customFormat="1" hidden="1" x14ac:dyDescent="0.25">
      <c r="A260" s="4"/>
    </row>
    <row r="261" spans="1:1" s="7" customFormat="1" hidden="1" x14ac:dyDescent="0.25">
      <c r="A261" s="4"/>
    </row>
    <row r="262" spans="1:1" s="7" customFormat="1" hidden="1" x14ac:dyDescent="0.25">
      <c r="A262" s="4"/>
    </row>
    <row r="263" spans="1:1" s="7" customFormat="1" hidden="1" x14ac:dyDescent="0.25">
      <c r="A263" s="4"/>
    </row>
    <row r="264" spans="1:1" s="7" customFormat="1" hidden="1" x14ac:dyDescent="0.25">
      <c r="A264" s="4"/>
    </row>
    <row r="265" spans="1:1" s="7" customFormat="1" hidden="1" x14ac:dyDescent="0.25">
      <c r="A265" s="4"/>
    </row>
    <row r="266" spans="1:1" s="7" customFormat="1" hidden="1" x14ac:dyDescent="0.25">
      <c r="A266" s="4"/>
    </row>
    <row r="267" spans="1:1" s="7" customFormat="1" hidden="1" x14ac:dyDescent="0.25">
      <c r="A267" s="4"/>
    </row>
    <row r="268" spans="1:1" s="7" customFormat="1" hidden="1" x14ac:dyDescent="0.25">
      <c r="A268" s="4"/>
    </row>
    <row r="269" spans="1:1" s="7" customFormat="1" hidden="1" x14ac:dyDescent="0.25">
      <c r="A269" s="4"/>
    </row>
    <row r="270" spans="1:1" s="7" customFormat="1" hidden="1" x14ac:dyDescent="0.25">
      <c r="A270" s="4"/>
    </row>
    <row r="271" spans="1:1" s="7" customFormat="1" hidden="1" x14ac:dyDescent="0.25">
      <c r="A271" s="4"/>
    </row>
    <row r="272" spans="1:1" s="7" customFormat="1" hidden="1" x14ac:dyDescent="0.25">
      <c r="A272" s="4"/>
    </row>
    <row r="273" spans="1:1" s="7" customFormat="1" hidden="1" x14ac:dyDescent="0.25">
      <c r="A273" s="4"/>
    </row>
    <row r="274" spans="1:1" s="7" customFormat="1" hidden="1" x14ac:dyDescent="0.25">
      <c r="A274" s="4"/>
    </row>
    <row r="275" spans="1:1" s="7" customFormat="1" hidden="1" x14ac:dyDescent="0.25">
      <c r="A275" s="4"/>
    </row>
    <row r="276" spans="1:1" s="7" customFormat="1" hidden="1" x14ac:dyDescent="0.25">
      <c r="A276" s="4"/>
    </row>
    <row r="277" spans="1:1" s="7" customFormat="1" hidden="1" x14ac:dyDescent="0.25">
      <c r="A277" s="4"/>
    </row>
  </sheetData>
  <sheetProtection sheet="1" objects="1" scenarios="1"/>
  <mergeCells count="1">
    <mergeCell ref="C2:F2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Matheus Dias Valentim Lopes</cp:lastModifiedBy>
  <dcterms:created xsi:type="dcterms:W3CDTF">2024-12-19T13:13:10Z</dcterms:created>
  <dcterms:modified xsi:type="dcterms:W3CDTF">2026-10-17T22:17:10Z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